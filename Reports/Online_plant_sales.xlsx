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3.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Ex4.xml" ContentType="application/vnd.ms-office.chartex+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drawings/drawing1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GIT\online_plant_sales\Reports\"/>
    </mc:Choice>
  </mc:AlternateContent>
  <xr:revisionPtr revIDLastSave="0" documentId="13_ncr:1_{AAA97A1C-AD62-48CE-AA22-DF6D3DD59991}" xr6:coauthVersionLast="47" xr6:coauthVersionMax="47" xr10:uidLastSave="{00000000-0000-0000-0000-000000000000}"/>
  <bookViews>
    <workbookView xWindow="-108" yWindow="-108" windowWidth="23256" windowHeight="12456" firstSheet="7" activeTab="14" xr2:uid="{00000000-000D-0000-FFFF-FFFF00000000}"/>
  </bookViews>
  <sheets>
    <sheet name="Clean_data" sheetId="2" r:id="rId1"/>
    <sheet name="Sheet1" sheetId="1" r:id="rId2"/>
    <sheet name="Special price" sheetId="4" r:id="rId3"/>
    <sheet name="Orignal price" sheetId="3" r:id="rId4"/>
    <sheet name="TOP 5" sheetId="16" r:id="rId5"/>
    <sheet name="Total_count" sheetId="19" r:id="rId6"/>
    <sheet name="Returns_count" sheetId="22" r:id="rId7"/>
    <sheet name="histogram" sheetId="13" r:id="rId8"/>
    <sheet name="Sp and discount" sheetId="12" r:id="rId9"/>
    <sheet name="Life cycle " sheetId="11" r:id="rId10"/>
    <sheet name="Plant size" sheetId="9" r:id="rId11"/>
    <sheet name="Type and count" sheetId="10" r:id="rId12"/>
    <sheet name="CARD" sheetId="17" r:id="rId13"/>
    <sheet name="Sheet4" sheetId="21" r:id="rId14"/>
    <sheet name="Dashboard" sheetId="18" r:id="rId15"/>
  </sheets>
  <definedNames>
    <definedName name="_xlnm._FilterDatabase" localSheetId="0" hidden="1">Clean_data!$A$1:$P$401</definedName>
    <definedName name="_xlnm._FilterDatabase" localSheetId="1" hidden="1">Sheet1!$A$1:$N$1</definedName>
    <definedName name="_xlchart.v1.0" hidden="1">'Special price'!$A$2:$A$401</definedName>
    <definedName name="_xlchart.v1.1" hidden="1">'Special price'!$A$1</definedName>
    <definedName name="_xlchart.v1.2" hidden="1">'Special price'!$A$2:$A$401</definedName>
    <definedName name="_xlchart.v1.3" hidden="1">'Orignal price'!$A$2:$A$401</definedName>
    <definedName name="_xlchart.v1.4" hidden="1">histogram!$A$1</definedName>
    <definedName name="_xlchart.v1.5" hidden="1">histogram!$A$2:$A$352</definedName>
    <definedName name="Slicer_type">#N/A</definedName>
  </definedNames>
  <calcPr calcId="191029"/>
  <pivotCaches>
    <pivotCache cacheId="0"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2" i="2" l="1"/>
  <c r="T21" i="2"/>
  <c r="T20" i="2"/>
  <c r="T16" i="2"/>
  <c r="T15" i="2"/>
  <c r="T14" i="2"/>
  <c r="T27" i="2"/>
  <c r="T26" i="2"/>
  <c r="T28" i="2"/>
  <c r="T10" i="2"/>
  <c r="T9" i="2"/>
  <c r="V6" i="2"/>
  <c r="V5" i="2"/>
  <c r="U5" i="2"/>
  <c r="U4" i="2"/>
  <c r="T11" i="2"/>
  <c r="T6" i="2"/>
  <c r="T5" i="2"/>
  <c r="T4" i="2"/>
  <c r="C18" i="17"/>
  <c r="D18" i="17"/>
  <c r="B18" i="21"/>
  <c r="D18" i="21"/>
  <c r="C18" i="21"/>
</calcChain>
</file>

<file path=xl/sharedStrings.xml><?xml version="1.0" encoding="utf-8"?>
<sst xmlns="http://schemas.openxmlformats.org/spreadsheetml/2006/main" count="9739" uniqueCount="1262">
  <si>
    <t>web-scraper-order</t>
  </si>
  <si>
    <t>name</t>
  </si>
  <si>
    <t>original price</t>
  </si>
  <si>
    <t>special price</t>
  </si>
  <si>
    <t>discount</t>
  </si>
  <si>
    <t>plant size</t>
  </si>
  <si>
    <t>return policy</t>
  </si>
  <si>
    <t>type</t>
  </si>
  <si>
    <t>life cycle</t>
  </si>
  <si>
    <t>location</t>
  </si>
  <si>
    <t>feng shui</t>
  </si>
  <si>
    <t>plant age</t>
  </si>
  <si>
    <t>hybride</t>
  </si>
  <si>
    <t>brand</t>
  </si>
  <si>
    <t>1739021150-1</t>
  </si>
  <si>
    <t>Pottplants Anthurium Plant  (Pack of 1)</t>
  </si>
  <si>
    <t>₹499</t>
  </si>
  <si>
    <t>₹199</t>
  </si>
  <si>
    <t>60% off</t>
  </si>
  <si>
    <t>Medium</t>
  </si>
  <si>
    <t>No Returns Allowed?</t>
  </si>
  <si>
    <t>Foliage</t>
  </si>
  <si>
    <t>Perennial</t>
  </si>
  <si>
    <t>Indoor</t>
  </si>
  <si>
    <t>No</t>
  </si>
  <si>
    <t/>
  </si>
  <si>
    <t>Pottplants</t>
  </si>
  <si>
    <t>1739021152-2</t>
  </si>
  <si>
    <t>greenhousestore Ficus Bonsai Plant  (Hybrid, Pack of 1)</t>
  </si>
  <si>
    <t>₹599</t>
  </si>
  <si>
    <t>₹130</t>
  </si>
  <si>
    <t>78% off</t>
  </si>
  <si>
    <t>Small</t>
  </si>
  <si>
    <t>Fruit</t>
  </si>
  <si>
    <t>Annual</t>
  </si>
  <si>
    <t>Indoor &amp; Outdoor</t>
  </si>
  <si>
    <t>Yes</t>
  </si>
  <si>
    <t>Hybrid Grafted Candy Crisp Kashmiri Apple Plant Live Fruit Tree Bonsai for Container Outdoor Garden</t>
  </si>
  <si>
    <t>greenhousestore</t>
  </si>
  <si>
    <t>1739021155-3</t>
  </si>
  <si>
    <t>Roy's Fashoin Brahma Kamal Plant  (Hybrid, Pack of 1)</t>
  </si>
  <si>
    <t>₹249</t>
  </si>
  <si>
    <t>50% off</t>
  </si>
  <si>
    <t>Flower</t>
  </si>
  <si>
    <t>Roy's Fashoin</t>
  </si>
  <si>
    <t>1739021157-4</t>
  </si>
  <si>
    <t>FURYHUB Tomato Plant  (Hybrid, Pack of 1)</t>
  </si>
  <si>
    <t>₹399</t>
  </si>
  <si>
    <t>₹120</t>
  </si>
  <si>
    <t>69% off</t>
  </si>
  <si>
    <t>Indoor, Outdoor</t>
  </si>
  <si>
    <t>FURYHUB</t>
  </si>
  <si>
    <t>1739021160-5</t>
  </si>
  <si>
    <t>Global Mart Plant Pomegranate Plant  (Hybrid, Pack of 1)</t>
  </si>
  <si>
    <t>₹398</t>
  </si>
  <si>
    <t>₹124</t>
  </si>
  <si>
    <t>68% off</t>
  </si>
  <si>
    <t>Global Mart Plant</t>
  </si>
  <si>
    <t>1739021163-6</t>
  </si>
  <si>
    <t>greenhousestore Jackfruit Plant  (Hybrid, Pack of 1)</t>
  </si>
  <si>
    <t>79% off</t>
  </si>
  <si>
    <t>1739021165-7</t>
  </si>
  <si>
    <t>Aquinnah Graden White Sandalwood Plant  (Hybrid, Pack of 1)</t>
  </si>
  <si>
    <t>₹489</t>
  </si>
  <si>
    <t>₹125</t>
  </si>
  <si>
    <t>74% off</t>
  </si>
  <si>
    <t>Herb</t>
  </si>
  <si>
    <t>Aquinnah Graden</t>
  </si>
  <si>
    <t>1739021168-8</t>
  </si>
  <si>
    <t>Cloud Farm Gummy Gardenia Plant  (Hybrid, Pack of 1)</t>
  </si>
  <si>
    <t>₹135</t>
  </si>
  <si>
    <t>72% off</t>
  </si>
  <si>
    <t>1 Year</t>
  </si>
  <si>
    <t>Cloud Farm</t>
  </si>
  <si>
    <t>1739021171-9</t>
  </si>
  <si>
    <t>FSK Betel Nut/Supari Plant  (Hybrid, Pack of 1)</t>
  </si>
  <si>
    <t>₹121</t>
  </si>
  <si>
    <t>75% off</t>
  </si>
  <si>
    <t>0.5 Year</t>
  </si>
  <si>
    <t>FSK</t>
  </si>
  <si>
    <t>1739021174-10</t>
  </si>
  <si>
    <t>Cloud Farm Dragon Tree  (Hybrid, Pack of 3)</t>
  </si>
  <si>
    <t>1739021177-11</t>
  </si>
  <si>
    <t>AloGardening Dragon Tree  (Hybrid, Pack of 2)</t>
  </si>
  <si>
    <t>₹299</t>
  </si>
  <si>
    <t>56% off</t>
  </si>
  <si>
    <t>Dragon Plant (Hybrid) Pack Of-2</t>
  </si>
  <si>
    <t>AloGardening</t>
  </si>
  <si>
    <t>1739021179-12</t>
  </si>
  <si>
    <t>Mrplant Jade Plant  (Pack of 1)</t>
  </si>
  <si>
    <t>₹128</t>
  </si>
  <si>
    <t>Air purifier plant</t>
  </si>
  <si>
    <t>3 Year</t>
  </si>
  <si>
    <t>Mrplant</t>
  </si>
  <si>
    <t>1739021182-13</t>
  </si>
  <si>
    <t>pagoda point Crasulla Ovata Plant  (Hybrid, Pack of 1)</t>
  </si>
  <si>
    <t>₹405</t>
  </si>
  <si>
    <t>67% off</t>
  </si>
  <si>
    <t>Succulent</t>
  </si>
  <si>
    <t>50 Year</t>
  </si>
  <si>
    <t>pagoda point</t>
  </si>
  <si>
    <t>1739021186-14</t>
  </si>
  <si>
    <t>UGAOO Bamboo Palm Plant  (Pack of 1)</t>
  </si>
  <si>
    <t>₹279</t>
  </si>
  <si>
    <t>44% off</t>
  </si>
  <si>
    <t>Bamboo</t>
  </si>
  <si>
    <t>UGAOO</t>
  </si>
  <si>
    <t>1739021189-15</t>
  </si>
  <si>
    <t>LaughEarth White Sandalwood Plant  (Hybrid, Pack of 1)</t>
  </si>
  <si>
    <t>₹140</t>
  </si>
  <si>
    <t>71% off</t>
  </si>
  <si>
    <t>15 Year</t>
  </si>
  <si>
    <t>LaughEarth</t>
  </si>
  <si>
    <t>1739021191-16</t>
  </si>
  <si>
    <t>Ariya Berry Plant  (Hybrid, Pack of 1)</t>
  </si>
  <si>
    <t>₹799</t>
  </si>
  <si>
    <t>₹126</t>
  </si>
  <si>
    <t>84% off</t>
  </si>
  <si>
    <t>Outdoor</t>
  </si>
  <si>
    <t>Ariya</t>
  </si>
  <si>
    <t>1739021194-17</t>
  </si>
  <si>
    <t>PlantsEarth Hibiscus Plant  (Hybrid, Pack of 1)</t>
  </si>
  <si>
    <t>₹422</t>
  </si>
  <si>
    <t>PlantsEarth</t>
  </si>
  <si>
    <t>1739021196-18</t>
  </si>
  <si>
    <t>Bijaya Online Store Areca Palm  (Hybrid, Pack of 3)</t>
  </si>
  <si>
    <t>₹449</t>
  </si>
  <si>
    <t>₹179</t>
  </si>
  <si>
    <t>0.8 Year</t>
  </si>
  <si>
    <t>Hybrid Plant</t>
  </si>
  <si>
    <t>Bijaya Online Store</t>
  </si>
  <si>
    <t>1739021199-19</t>
  </si>
  <si>
    <t>ibains Mini Brazalian wood  (Hybrid, Pack of 44)</t>
  </si>
  <si>
    <t>₹186</t>
  </si>
  <si>
    <t>53% off</t>
  </si>
  <si>
    <t>Bonsai</t>
  </si>
  <si>
    <t>ibains</t>
  </si>
  <si>
    <t>1739021201-20</t>
  </si>
  <si>
    <t>AloGardening Guava Plant  (Hybrid, Pack of 1)</t>
  </si>
  <si>
    <t>₹185</t>
  </si>
  <si>
    <t>1739021204-21</t>
  </si>
  <si>
    <t>AloGardening Dragon Tree  (Hybrid, Pack of 6)</t>
  </si>
  <si>
    <t>₹160</t>
  </si>
  <si>
    <t>59% off</t>
  </si>
  <si>
    <t>1739021206-22</t>
  </si>
  <si>
    <t>Ukanda Hibiscus Plant  (Hybrid, Pack of 1)</t>
  </si>
  <si>
    <t>₹119</t>
  </si>
  <si>
    <t>70% off</t>
  </si>
  <si>
    <t>Ukanda</t>
  </si>
  <si>
    <t>1739021209-23</t>
  </si>
  <si>
    <t>AloGardening Ber Apple Plant  (Hybrid, Pack of 1)</t>
  </si>
  <si>
    <t>₹235</t>
  </si>
  <si>
    <t>₹139</t>
  </si>
  <si>
    <t>40% off</t>
  </si>
  <si>
    <t>0.2 Year</t>
  </si>
  <si>
    <t>1739021211-24</t>
  </si>
  <si>
    <t>EVY Shami/Jand Plant  (Hybrid, Pack of 1)</t>
  </si>
  <si>
    <t>₹118</t>
  </si>
  <si>
    <t>EVY</t>
  </si>
  <si>
    <t>1739021214-25</t>
  </si>
  <si>
    <t>greenhousestore Hibiscus Plant  (Hybrid, Pack of 1)</t>
  </si>
  <si>
    <t>₹149</t>
  </si>
  <si>
    <t>1739021216-26</t>
  </si>
  <si>
    <t>GreenHorizon Rudraksha Plant  (Hybrid, Pack of 1)</t>
  </si>
  <si>
    <t>₹663</t>
  </si>
  <si>
    <t>82% off</t>
  </si>
  <si>
    <t>0.3 Year</t>
  </si>
  <si>
    <t>GreenHorizon</t>
  </si>
  <si>
    <t>1739021219-27</t>
  </si>
  <si>
    <t>Corofitam Jamun Plant  (Hybrid, Pack of 1)</t>
  </si>
  <si>
    <t>₹123</t>
  </si>
  <si>
    <t>Corofitam</t>
  </si>
  <si>
    <t>1739021221-28</t>
  </si>
  <si>
    <t>Ukanda Bay Leaf Plant  (Hybrid, Pack of 1)</t>
  </si>
  <si>
    <t>₹349</t>
  </si>
  <si>
    <t>63% off</t>
  </si>
  <si>
    <t>1739021224-29</t>
  </si>
  <si>
    <t>Gabbro Two Layer Bamboo Plant  (Hybrid, Pack of 2)</t>
  </si>
  <si>
    <t>₹999</t>
  </si>
  <si>
    <t>4 Year</t>
  </si>
  <si>
    <t>Gabbro</t>
  </si>
  <si>
    <t>1739021226-30</t>
  </si>
  <si>
    <t>Cloud Farm Tuberose/Rajnigandha Plant  (Hybrid, Pack of 1)</t>
  </si>
  <si>
    <t>One Live Hybrid Plant Sapling</t>
  </si>
  <si>
    <t>1739021229-31</t>
  </si>
  <si>
    <t>Augadh Orange Plant  (Hybrid, Pack of 1)</t>
  </si>
  <si>
    <t>₹115</t>
  </si>
  <si>
    <t>61% off</t>
  </si>
  <si>
    <t>Augadh</t>
  </si>
  <si>
    <t>1739021231-32</t>
  </si>
  <si>
    <t>natikrd Chrysanthemums/ Guldavari Plant  (Hybrid, Pack of 1)</t>
  </si>
  <si>
    <t>natikrd</t>
  </si>
  <si>
    <t>1739021234-33</t>
  </si>
  <si>
    <t>PETALFLEUR Adenium Plant  (Hybrid, Pack of 1)</t>
  </si>
  <si>
    <t>64% off</t>
  </si>
  <si>
    <t>PETALFLEUR</t>
  </si>
  <si>
    <t>1739021236-34</t>
  </si>
  <si>
    <t>Tribute Giloy Plant  (Pack of 20)</t>
  </si>
  <si>
    <t>5 Year</t>
  </si>
  <si>
    <t>Tribute</t>
  </si>
  <si>
    <t>1739021239-35</t>
  </si>
  <si>
    <t>greenhousestore Shami/Jand Plant  (Hybrid, Pack of 1)</t>
  </si>
  <si>
    <t>1739021241-36</t>
  </si>
  <si>
    <t>greenhousestore Orchid Plant  (Hybrid, Pack of 1)</t>
  </si>
  <si>
    <t>₹549</t>
  </si>
  <si>
    <t>₹127</t>
  </si>
  <si>
    <t>76% off</t>
  </si>
  <si>
    <t>1739021244-37</t>
  </si>
  <si>
    <t>HARIGURU Aparajita/ Butterfly Pea Plant  (Hybrid, Pack of 1)</t>
  </si>
  <si>
    <t>₹180</t>
  </si>
  <si>
    <t>39% off</t>
  </si>
  <si>
    <t>Biennial</t>
  </si>
  <si>
    <t>Indoor &amp; Outdoor, Indoor, Outdoor</t>
  </si>
  <si>
    <t>HARIGURU</t>
  </si>
  <si>
    <t>1739021246-38</t>
  </si>
  <si>
    <t>PLANTTOOZS White Sandalwood Plant  (Hybrid, Pack of 1)</t>
  </si>
  <si>
    <t>PLANTTOOZS</t>
  </si>
  <si>
    <t>1739021249-39</t>
  </si>
  <si>
    <t>ZOOMGREEN Aglaonema Plant  (Hybrid, Pack of 1)</t>
  </si>
  <si>
    <t>₹258</t>
  </si>
  <si>
    <t>48% off</t>
  </si>
  <si>
    <t>ZOOMGREEN</t>
  </si>
  <si>
    <t>1739021251-40</t>
  </si>
  <si>
    <t>greenhousestore Grapes Plant  (Hybrid, Pack of 1)</t>
  </si>
  <si>
    <t>1739021257-41</t>
  </si>
  <si>
    <t>Linaa Jade Plant  (Hybrid, Pack of 1)</t>
  </si>
  <si>
    <t>87% off</t>
  </si>
  <si>
    <t>Linaa</t>
  </si>
  <si>
    <t>1739021259-42</t>
  </si>
  <si>
    <t>1739021262-43</t>
  </si>
  <si>
    <t>1739021265-44</t>
  </si>
  <si>
    <t>1739021268-45</t>
  </si>
  <si>
    <t>1739021270-46</t>
  </si>
  <si>
    <t>1739021273-47</t>
  </si>
  <si>
    <t>AquinnahGaden Pistachio Plant  (Hybrid, Pack of 1)</t>
  </si>
  <si>
    <t>₹189</t>
  </si>
  <si>
    <t>62% off</t>
  </si>
  <si>
    <t>Akbari pistachio Pista Badam Hybrid Plant Pack Of 2(CF56)</t>
  </si>
  <si>
    <t>AquinnahGaden</t>
  </si>
  <si>
    <t>1739021275-48</t>
  </si>
  <si>
    <t>MAITRA AND SONS Areca Plam  (Hybrid, Pack of 1)</t>
  </si>
  <si>
    <t>₹132</t>
  </si>
  <si>
    <t>33% off</t>
  </si>
  <si>
    <t>Shrub</t>
  </si>
  <si>
    <t>MAITRA AND SONS</t>
  </si>
  <si>
    <t>1739021278-49</t>
  </si>
  <si>
    <t>HIGH TECH FARM Wax Apple Plant  (Hybrid, Pack of 1)</t>
  </si>
  <si>
    <t>HIGH TECH FARM</t>
  </si>
  <si>
    <t>1739021280-50</t>
  </si>
  <si>
    <t>Grinian Spider Plant  (Hybrid, Pack of 1)</t>
  </si>
  <si>
    <t>₹165</t>
  </si>
  <si>
    <t>66% off</t>
  </si>
  <si>
    <t>Grinian</t>
  </si>
  <si>
    <t>1739021283-51</t>
  </si>
  <si>
    <t>GHF Two Layer Bamboo Plant  (Pack of 1)</t>
  </si>
  <si>
    <t>₹256</t>
  </si>
  <si>
    <t>35% off</t>
  </si>
  <si>
    <t>GHF</t>
  </si>
  <si>
    <t>1739021285-52</t>
  </si>
  <si>
    <t>PLANTTOOZS Coconut Plant  (Pack of 1)</t>
  </si>
  <si>
    <t>₹904</t>
  </si>
  <si>
    <t>₹196</t>
  </si>
  <si>
    <t>1739021288-53</t>
  </si>
  <si>
    <t>greenhousestore Curry Leaf Plant  (Hybrid, Pack of 1)</t>
  </si>
  <si>
    <t>1739021290-54</t>
  </si>
  <si>
    <t>AquinnahGaden Brahma Kamal Plant  (Hybrid, Pack of 1)</t>
  </si>
  <si>
    <t>₹350</t>
  </si>
  <si>
    <t>1739021293-55</t>
  </si>
  <si>
    <t>Harshgreen Two Layer Bamboo Plant  (Pack of 2)</t>
  </si>
  <si>
    <t>₹381</t>
  </si>
  <si>
    <t>52% off</t>
  </si>
  <si>
    <t>24 Year</t>
  </si>
  <si>
    <t>Harshgreen</t>
  </si>
  <si>
    <t>1739021295-56</t>
  </si>
  <si>
    <t>EVY Rudraksha Plant  (Hybrid, Pack of 1)</t>
  </si>
  <si>
    <t>₹114</t>
  </si>
  <si>
    <t>1739021298-57</t>
  </si>
  <si>
    <t>MircleGarden Tulsi Plant  (Hybrid, Pack of 1)</t>
  </si>
  <si>
    <t>51% off</t>
  </si>
  <si>
    <t>MircleGarden</t>
  </si>
  <si>
    <t>1739021300-58</t>
  </si>
  <si>
    <t>Cloud Farm Adenium Plant  (Hybrid, Pack of 5)</t>
  </si>
  <si>
    <t>1739021303-59</t>
  </si>
  <si>
    <t>UGAOO Broken Heart Plant  (Hybrid, Pack of 1)</t>
  </si>
  <si>
    <t>1739021305-60</t>
  </si>
  <si>
    <t>AquinnahGaden Areca Palm  (Hybrid, Pack of 1)</t>
  </si>
  <si>
    <t>1739021308-61</t>
  </si>
  <si>
    <t>rimardmistu Drumstick Tree Plant  (Hybrid, Pack of 1)</t>
  </si>
  <si>
    <t>₹226</t>
  </si>
  <si>
    <t>rimardmistu</t>
  </si>
  <si>
    <t>1739021310-62</t>
  </si>
  <si>
    <t>greengrow Neem Plant  (Hybrid, Pack of 1)</t>
  </si>
  <si>
    <t>₹589</t>
  </si>
  <si>
    <t>Outdoor, Indoor &amp; Outdoor</t>
  </si>
  <si>
    <t>greengrow</t>
  </si>
  <si>
    <t>1739021313-63</t>
  </si>
  <si>
    <t>greenhousestore Apple Plant  (Hybrid, Pack of 1)</t>
  </si>
  <si>
    <t>₹408</t>
  </si>
  <si>
    <t>1739021315-64</t>
  </si>
  <si>
    <t>PB honey priya plant Shami/Jand Plant  (Hybrid, Pack of 1)</t>
  </si>
  <si>
    <t>PB honey priya plant</t>
  </si>
  <si>
    <t>1739021318-65</t>
  </si>
  <si>
    <t>Kyari Jade Plant  (Pack of 1)</t>
  </si>
  <si>
    <t>Kyari</t>
  </si>
  <si>
    <t>1739021320-66</t>
  </si>
  <si>
    <t>Click to purchase Madhu Kamini Plant  (Hybrid, Pack of 1)</t>
  </si>
  <si>
    <t>₹270</t>
  </si>
  <si>
    <t>Click to purchase</t>
  </si>
  <si>
    <t>1739021323-67</t>
  </si>
  <si>
    <t>FasanGreen Jasmine Plant  (Hybrid, Pack of 1)</t>
  </si>
  <si>
    <t>Jasmine Hybrid Plant698</t>
  </si>
  <si>
    <t>FasanGreen</t>
  </si>
  <si>
    <t>1739021326-68</t>
  </si>
  <si>
    <t>AquinnahGaden Black Pepper Plant  (Hybrid, Pack of 2)</t>
  </si>
  <si>
    <t>1739021328-69</t>
  </si>
  <si>
    <t>PlantsMart Hibiscus Plant  (Hybrid, Pack of 1)</t>
  </si>
  <si>
    <t>₹229</t>
  </si>
  <si>
    <t>47% off</t>
  </si>
  <si>
    <t>0.9 Year</t>
  </si>
  <si>
    <t>PlantsMart</t>
  </si>
  <si>
    <t>1739021331-70</t>
  </si>
  <si>
    <t>Skrhuvoy Coleus Plant  (Pack of 1)</t>
  </si>
  <si>
    <t>Tree</t>
  </si>
  <si>
    <t>Skrhuvoy</t>
  </si>
  <si>
    <t>1739021333-71</t>
  </si>
  <si>
    <t>Cloud Farm Grapes Plant  (Hybrid, Pack of 1)</t>
  </si>
  <si>
    <t>Indoor &amp; Outdoor, Outdoor</t>
  </si>
  <si>
    <t>1739021336-72</t>
  </si>
  <si>
    <t>Gereen View Bel Plant  (Hybrid, Pack of 1)</t>
  </si>
  <si>
    <t>₹699</t>
  </si>
  <si>
    <t>81% off</t>
  </si>
  <si>
    <t>1.5 Year</t>
  </si>
  <si>
    <t>Gereen View</t>
  </si>
  <si>
    <t>1739021338-73</t>
  </si>
  <si>
    <t>BALA PLANT CREATION Cherry Fruit Plant  (Hybrid, Pack of 1)</t>
  </si>
  <si>
    <t>₹122</t>
  </si>
  <si>
    <t>BALA PLANT CREATION</t>
  </si>
  <si>
    <t>1739021340-74</t>
  </si>
  <si>
    <t>ARYAN EVERGREEN Rose Plant  (Hybrid, Pack of 1)</t>
  </si>
  <si>
    <t>₹339</t>
  </si>
  <si>
    <t>ARYAN EVERGREEN</t>
  </si>
  <si>
    <t>1739021343-75</t>
  </si>
  <si>
    <t>ADITYA GREEN PLANTS AGP Bacopa Monnieri  (Pack of 1)</t>
  </si>
  <si>
    <t>ADITYA GREEN PLANTS AGP</t>
  </si>
  <si>
    <t>1739021345-76</t>
  </si>
  <si>
    <t>Cloud Farm Durian Plant  (Hybrid, Pack of 1)</t>
  </si>
  <si>
    <t>1739021348-77</t>
  </si>
  <si>
    <t>Global Mart Plant Mini Brazalian wood  (Hybrid, Pack of 1)</t>
  </si>
  <si>
    <t>1739021351-78</t>
  </si>
  <si>
    <t>GreenHorizon Guava Plant  (Hybrid, Pack of 1)</t>
  </si>
  <si>
    <t>₹250</t>
  </si>
  <si>
    <t>1739021353-79</t>
  </si>
  <si>
    <t>₹117</t>
  </si>
  <si>
    <t>80% off</t>
  </si>
  <si>
    <t>1739021356-80</t>
  </si>
  <si>
    <t>FURYHUB Portulaca Plant  (Hybrid, Pack of 1)</t>
  </si>
  <si>
    <t>₹134</t>
  </si>
  <si>
    <t>1739021361-81</t>
  </si>
  <si>
    <t>greenhousestore Wax Apple Plant  (Hybrid, Pack of 1)</t>
  </si>
  <si>
    <t>77% off</t>
  </si>
  <si>
    <t>1739021363-82</t>
  </si>
  <si>
    <t>GreenGrowth Orchid Plant  (Hybrid, Pack of 4)</t>
  </si>
  <si>
    <t>₹146</t>
  </si>
  <si>
    <t>GreenGrowth</t>
  </si>
  <si>
    <t>1739021366-83</t>
  </si>
  <si>
    <t>Royplant Snake Plant  (Hybrid, Pack of 1)</t>
  </si>
  <si>
    <t>₹432</t>
  </si>
  <si>
    <t>Royplant</t>
  </si>
  <si>
    <t>1739021368-84</t>
  </si>
  <si>
    <t>Cloud Farm Rose Plant  (Hybrid, Pack of 1)</t>
  </si>
  <si>
    <t>1739021371-85</t>
  </si>
  <si>
    <t>GREENELAND lotus  (Hybrid, Pack of 1)</t>
  </si>
  <si>
    <t>₹153</t>
  </si>
  <si>
    <t>₹112</t>
  </si>
  <si>
    <t>26% off</t>
  </si>
  <si>
    <t>GREENELAND</t>
  </si>
  <si>
    <t>1739021373-86</t>
  </si>
  <si>
    <t>Click to buy Calathea Dottie  (Hybrid, Pack of 1)</t>
  </si>
  <si>
    <t>85% off</t>
  </si>
  <si>
    <t>Indoor, Indoor &amp; Outdoor</t>
  </si>
  <si>
    <t>Click to buy</t>
  </si>
  <si>
    <t>1739021376-87</t>
  </si>
  <si>
    <t>Hug A Plant Vanilla Plant  (Hybrid, Pack of 1)</t>
  </si>
  <si>
    <t>Creepers and Climbers</t>
  </si>
  <si>
    <t>Hug A Plant</t>
  </si>
  <si>
    <t>1739021378-88</t>
  </si>
  <si>
    <t>greengrow Snake Plant  (Hybrid, Pack of 1)</t>
  </si>
  <si>
    <t>₹191</t>
  </si>
  <si>
    <t>1739021381-89</t>
  </si>
  <si>
    <t>EarthAngel Rose Plant  (Hybrid, Pack of 1)</t>
  </si>
  <si>
    <t>EarthAngel</t>
  </si>
  <si>
    <t>1739021383-90</t>
  </si>
  <si>
    <t>KUMUBON Begonia Vanusta Plant  (Pack of 1)</t>
  </si>
  <si>
    <t>₹161</t>
  </si>
  <si>
    <t>46% off</t>
  </si>
  <si>
    <t>KUMUBON</t>
  </si>
  <si>
    <t>1739021386-91</t>
  </si>
  <si>
    <t>greenhousestore ZZ Plant  (Hybrid, Pack of 1)</t>
  </si>
  <si>
    <t>1739021388-92</t>
  </si>
  <si>
    <t>greenhousestore Star Fruit Carambola Grafted Plant  (Hybrid, Pack of 1)</t>
  </si>
  <si>
    <t>₹376</t>
  </si>
  <si>
    <t>1739021391-93</t>
  </si>
  <si>
    <t>HARIGURU Shahtoot/Mulberry Plant  (Hybrid, Pack of 1)</t>
  </si>
  <si>
    <t>36% off</t>
  </si>
  <si>
    <t>Indoor &amp; Outdoor, Outdoor, Indoor</t>
  </si>
  <si>
    <t>1739021393-94</t>
  </si>
  <si>
    <t>greenhousestore Aloe Vera Plant  (Hybrid, Pack of 1)</t>
  </si>
  <si>
    <t>₹220</t>
  </si>
  <si>
    <t>1739021396-95</t>
  </si>
  <si>
    <t>WZZA Laxmi Kamal Plant  (Hybrid, Pack of 1)</t>
  </si>
  <si>
    <t>₹297</t>
  </si>
  <si>
    <t>2 Year</t>
  </si>
  <si>
    <t>WZZA</t>
  </si>
  <si>
    <t>1739021398-96</t>
  </si>
  <si>
    <t>FSK Cinnamon Plant  (Hybrid, Pack of 1)</t>
  </si>
  <si>
    <t>₹419</t>
  </si>
  <si>
    <t>₹133</t>
  </si>
  <si>
    <t>1739021401-97</t>
  </si>
  <si>
    <t>GHF Two Layer Bamboo Plant  (Hybrid, Pack of 1)</t>
  </si>
  <si>
    <t>₹174</t>
  </si>
  <si>
    <t>1739021404-98</t>
  </si>
  <si>
    <t>greenhousestore Jack Fruit Plant  (Hybrid, Pack of 1)</t>
  </si>
  <si>
    <t>₹598</t>
  </si>
  <si>
    <t>1739021406-99</t>
  </si>
  <si>
    <t>PB HONEY PRIYA PLaNTS Bluebell barleria Plant  (Hybrid, Pack of 1)</t>
  </si>
  <si>
    <t>₹175</t>
  </si>
  <si>
    <t>41% off</t>
  </si>
  <si>
    <t>PB HONEY PRIYA PLaNTS</t>
  </si>
  <si>
    <t>1739021409-100</t>
  </si>
  <si>
    <t>jarr Money Plant  (Hybrid, Pack of 1)</t>
  </si>
  <si>
    <t>jarr</t>
  </si>
  <si>
    <t>1739021411-101</t>
  </si>
  <si>
    <t>PB honey priya plant Star Fruit Carambola Grafted Plant  (Hybrid, Pack of 1)</t>
  </si>
  <si>
    <t>1739021414-102</t>
  </si>
  <si>
    <t>greenhousestore Madhumalti/Rangoon Creeper  (Hybrid, Pack of 1)</t>
  </si>
  <si>
    <t>₹313</t>
  </si>
  <si>
    <t>1739021416-103</t>
  </si>
  <si>
    <t>AloGardening Betel Leaf Plant  (Hybrid, Pack of 1)</t>
  </si>
  <si>
    <t>1739021419-104</t>
  </si>
  <si>
    <t>Samarthgreens Pomegranate Plant  (Hybrid, Pack of 1)</t>
  </si>
  <si>
    <t>Samarthgreens</t>
  </si>
  <si>
    <t>1739021421-105</t>
  </si>
  <si>
    <t>PEDPOUDHE Calathea Plant  (Hybrid, Pack of 1)</t>
  </si>
  <si>
    <t>₹1,000</t>
  </si>
  <si>
    <t>₹167</t>
  </si>
  <si>
    <t>83% off</t>
  </si>
  <si>
    <t>PEDPOUDHE</t>
  </si>
  <si>
    <t>1739021424-106</t>
  </si>
  <si>
    <t>GreenHorizon Aloe Vera Plant  (Hybrid, Pack of 1)</t>
  </si>
  <si>
    <t>0.6 Year</t>
  </si>
  <si>
    <t>Hybride Aloevera Plant</t>
  </si>
  <si>
    <t>1739021426-107</t>
  </si>
  <si>
    <t>Cloud Farm Adenium Plant  (Hybrid, Pack of 6)</t>
  </si>
  <si>
    <t>1739021429-108</t>
  </si>
  <si>
    <t>MAITRA AND SONS Jade Plant  (Hybrid, Pack of 1)</t>
  </si>
  <si>
    <t>58% off</t>
  </si>
  <si>
    <t>1739021432-109</t>
  </si>
  <si>
    <t>E-GARDEN RED ROSE PLANT  (Pack of 1)</t>
  </si>
  <si>
    <t>₹145</t>
  </si>
  <si>
    <t>E-GARDEN</t>
  </si>
  <si>
    <t>1739021434-110</t>
  </si>
  <si>
    <t>₹492</t>
  </si>
  <si>
    <t>₹152</t>
  </si>
  <si>
    <t>1739021437-111</t>
  </si>
  <si>
    <t>Zomoloco Ber Apple Plant  (Hybrid, Pack of 1)</t>
  </si>
  <si>
    <t>Zomoloco</t>
  </si>
  <si>
    <t>1739021439-112</t>
  </si>
  <si>
    <t>ARYAN EVERGREEN Lily Plant  (Hybrid, Pack of 1)</t>
  </si>
  <si>
    <t>Peace Lily Plant,1 Live Plant (Hybrid, Pack of 1)</t>
  </si>
  <si>
    <t>1739021442-113</t>
  </si>
  <si>
    <t>greenhousestore Banana Plant  (Hybrid, Pack of 1)</t>
  </si>
  <si>
    <t>1739021444-114</t>
  </si>
  <si>
    <t>GaiaStore Orchid Plant  (Hybrid, Pack of 5)</t>
  </si>
  <si>
    <t>₹899</t>
  </si>
  <si>
    <t>GaiaStore</t>
  </si>
  <si>
    <t>1739021447-115</t>
  </si>
  <si>
    <t>Gabbro Jade Plant  (Hybrid, Pack of 1)</t>
  </si>
  <si>
    <t>10 Year</t>
  </si>
  <si>
    <t>1739021449-116</t>
  </si>
  <si>
    <t>Rm live plant ZZ Plant  (Hybrid, Pack of 1)</t>
  </si>
  <si>
    <t>₹169</t>
  </si>
  <si>
    <t>Rm live plant</t>
  </si>
  <si>
    <t>1739021452-117</t>
  </si>
  <si>
    <t>Vijay Sales Spider Plant  (Hybrid, Pack of 1)</t>
  </si>
  <si>
    <t>₹498</t>
  </si>
  <si>
    <t>Vijay Sales</t>
  </si>
  <si>
    <t>1739021454-118</t>
  </si>
  <si>
    <t>greenhousestore Coconut Plant  (Hybrid, Pack of 1)</t>
  </si>
  <si>
    <t>1739021457-119</t>
  </si>
  <si>
    <t>greenhousestore Rose Plant  (Hybrid, Pack of 1)</t>
  </si>
  <si>
    <t>1739021459-120</t>
  </si>
  <si>
    <t>Tha live root Laxmi kamal Laxmi Kamal Plant  (Hybrid, Pack of 1)</t>
  </si>
  <si>
    <t>₹500</t>
  </si>
  <si>
    <t>Tha live root Laxmi kamal</t>
  </si>
  <si>
    <t>1739021464-121</t>
  </si>
  <si>
    <t>AquinnahGaden Insulin Plant  (Hybrid, Pack of 1)</t>
  </si>
  <si>
    <t>1739021467-122</t>
  </si>
  <si>
    <t>sealok Euphorbia Plant  (Hybrid, Pack of 1)</t>
  </si>
  <si>
    <t>sealok</t>
  </si>
  <si>
    <t>1739021469-123</t>
  </si>
  <si>
    <t>ABEFARIYA Begonia Vanusta Plant  (Hybrid, Pack of 1)</t>
  </si>
  <si>
    <t>₹1,200</t>
  </si>
  <si>
    <t>88% off</t>
  </si>
  <si>
    <t>ABEFARIYA</t>
  </si>
  <si>
    <t>1739021472-124</t>
  </si>
  <si>
    <t>FURYHUB Money Plant  (Hybrid, Pack of 1)</t>
  </si>
  <si>
    <t>73% off</t>
  </si>
  <si>
    <t>1739021474-125</t>
  </si>
  <si>
    <t>AloGardening Adenium Plant  (Hybrid, Pack of 9)</t>
  </si>
  <si>
    <t>₹1,099</t>
  </si>
  <si>
    <t>₹483</t>
  </si>
  <si>
    <t>1739021477-126</t>
  </si>
  <si>
    <t>MAITRA AND SONS Rosemary Plant  (Hybrid, Pack of 1)</t>
  </si>
  <si>
    <t>1739021479-127</t>
  </si>
  <si>
    <t>KUMUBON Madhu Kamini Plant  (Hybrid, Pack of 1)</t>
  </si>
  <si>
    <t>16% off</t>
  </si>
  <si>
    <t>1739021482-128</t>
  </si>
  <si>
    <t>Cloud Farm Papaya Plant  (Hybrid, Pack of 1)</t>
  </si>
  <si>
    <t>₹136</t>
  </si>
  <si>
    <t>1739021484-129</t>
  </si>
  <si>
    <t>LaughEarth Shami/Jand Plant  (Pack of 1)</t>
  </si>
  <si>
    <t>₹170</t>
  </si>
  <si>
    <t>57% off</t>
  </si>
  <si>
    <t>1739021487-130</t>
  </si>
  <si>
    <t>Marinetree Bougainvillea Plant  (Hybrid, Pack of 1)</t>
  </si>
  <si>
    <t>49% off</t>
  </si>
  <si>
    <t>Marinetree</t>
  </si>
  <si>
    <t>1739021489-131</t>
  </si>
  <si>
    <t>Cloud Farm Chiku Plant  (Hybrid, Pack of 1)</t>
  </si>
  <si>
    <t>1739021493-132</t>
  </si>
  <si>
    <t>K,M.GREEN Tamarind Plant  (Hybrid, Pack of 1)</t>
  </si>
  <si>
    <t>K,M.GREEN</t>
  </si>
  <si>
    <t>1739021496-133</t>
  </si>
  <si>
    <t>Cloud Farm Almond Plant  (Hybrid, Pack of 1)</t>
  </si>
  <si>
    <t>Rare Hybrid Almond Fruit plant, CF_824S1433</t>
  </si>
  <si>
    <t>1739021498-134</t>
  </si>
  <si>
    <t>ADA China Palm Plant  (Hybrid, Pack of 1)</t>
  </si>
  <si>
    <t>₹129</t>
  </si>
  <si>
    <t>ADA</t>
  </si>
  <si>
    <t>1739021501-135</t>
  </si>
  <si>
    <t>Samarthgreens Ficus Plant  (Hybrid, Pack of 1)</t>
  </si>
  <si>
    <t>1739021503-136</t>
  </si>
  <si>
    <t>Ukanda ZZ Plant  (Hybrid, Pack of 1)</t>
  </si>
  <si>
    <t>1739021506-137</t>
  </si>
  <si>
    <t>FSK Coconut Plant  (Hybrid, Pack of 1)</t>
  </si>
  <si>
    <t>1739021509-138</t>
  </si>
  <si>
    <t>greenhousestore Lemon Plant  (Hybrid, Pack of 1)</t>
  </si>
  <si>
    <t>1739021512-139</t>
  </si>
  <si>
    <t>Aquinnah Banana Plant  (Hybrid, Pack of 1)</t>
  </si>
  <si>
    <t>₹138</t>
  </si>
  <si>
    <t>Aquinnah</t>
  </si>
  <si>
    <t>1739021515-140</t>
  </si>
  <si>
    <t>greenhousestore Mango Plant  (Hybrid, Pack of 1)</t>
  </si>
  <si>
    <t>All Time Mango plant, Thai Hybrid Variety</t>
  </si>
  <si>
    <t>1739021518-141</t>
  </si>
  <si>
    <t>greenhousestore Black Pepper Plant  (Hybrid, Pack of 1)</t>
  </si>
  <si>
    <t>1739021521-142</t>
  </si>
  <si>
    <t>Cloud Farm Kiwi Plant  (Hybrid, Pack of 1)</t>
  </si>
  <si>
    <t>1739021523-143</t>
  </si>
  <si>
    <t>greenhousestore Amla Plant  (Hybrid, Pack of 1)</t>
  </si>
  <si>
    <t>1739021526-144</t>
  </si>
  <si>
    <t>₹173</t>
  </si>
  <si>
    <t>12 Year</t>
  </si>
  <si>
    <t>1739021528-145</t>
  </si>
  <si>
    <t>AquinnahGaden Litchi Plant  (Hybrid, Pack of 1)</t>
  </si>
  <si>
    <t>1739021531-146</t>
  </si>
  <si>
    <t>1739021535-147</t>
  </si>
  <si>
    <t>AGAMI Two Layer Bamboo Plant  (Pack of 1)</t>
  </si>
  <si>
    <t>₹849</t>
  </si>
  <si>
    <t>₹294</t>
  </si>
  <si>
    <t>65% off</t>
  </si>
  <si>
    <t>AGAMI</t>
  </si>
  <si>
    <t>1739021538-148</t>
  </si>
  <si>
    <t>PETALFLEUR Adenium Plant  (Hybrid, Pack of 2)</t>
  </si>
  <si>
    <t>1739021541-149</t>
  </si>
  <si>
    <t>Cloud Farm Adenium Plant  (Hybrid, Pack of 1)</t>
  </si>
  <si>
    <t>1739021544-150</t>
  </si>
  <si>
    <t>EliteGreen Betel Nut/Supari Plant  (Hybrid, Pack of 1)</t>
  </si>
  <si>
    <t>₹183</t>
  </si>
  <si>
    <t>38% off</t>
  </si>
  <si>
    <t>EliteGreen</t>
  </si>
  <si>
    <t>1739021549-151</t>
  </si>
  <si>
    <t>Nature House Snake Plant  (Pack of 1)</t>
  </si>
  <si>
    <t>₹182</t>
  </si>
  <si>
    <t>Nature House</t>
  </si>
  <si>
    <t>1739021553-152</t>
  </si>
  <si>
    <t>greenhousestore Christmas Tree Plant  (Hybrid, Pack of 1)</t>
  </si>
  <si>
    <t>1739021557-153</t>
  </si>
  <si>
    <t>1739021561-154</t>
  </si>
  <si>
    <t>NATURE WISE YOU Spider Plant  (Hybrid, Pack of 1)</t>
  </si>
  <si>
    <t>₹298</t>
  </si>
  <si>
    <t>NATURE WISE YOU</t>
  </si>
  <si>
    <t>1739021564-155</t>
  </si>
  <si>
    <t>KUMUBON Amla Plant  (Hybrid, Pack of 1)</t>
  </si>
  <si>
    <t>₹280</t>
  </si>
  <si>
    <t>₹155</t>
  </si>
  <si>
    <t>1739021567-156</t>
  </si>
  <si>
    <t>GreenHorizon Elaichi/Cardamom Plant  (Hybrid, Pack of 1)</t>
  </si>
  <si>
    <t>₹305</t>
  </si>
  <si>
    <t>1739021571-157</t>
  </si>
  <si>
    <t>Heaven Of Saplings Gummy Gardenia Plant  (Hybrid, Pack of 1)</t>
  </si>
  <si>
    <t>₹158</t>
  </si>
  <si>
    <t>Heaven Of Saplings</t>
  </si>
  <si>
    <t>1739021574-158</t>
  </si>
  <si>
    <t>PEEPALSFARM Betel Leaf Plant  (Hybrid, Pack of 1)</t>
  </si>
  <si>
    <t>₹247</t>
  </si>
  <si>
    <t>PEEPALSFARM</t>
  </si>
  <si>
    <t>1739021578-159</t>
  </si>
  <si>
    <t>AloGardening ZZ Plant  (Hybrid, Pack of 1)</t>
  </si>
  <si>
    <t>₹450</t>
  </si>
  <si>
    <t>₹131</t>
  </si>
  <si>
    <t>Rare Red Rambutan Hybrid Exotic Fruit Seedling Live Plant Red Variety [CF37123]</t>
  </si>
  <si>
    <t>1739021582-160</t>
  </si>
  <si>
    <t>₹439</t>
  </si>
  <si>
    <t>1739021590-161</t>
  </si>
  <si>
    <t>greenhousestore Walnut Plant  (Hybrid, Pack of 1)</t>
  </si>
  <si>
    <t>1739021593-162</t>
  </si>
  <si>
    <t>EVY Tea Plant  (Hybrid, Pack of 1)</t>
  </si>
  <si>
    <t>1739021596-163</t>
  </si>
  <si>
    <t>Global Mart Plant Blackberry Lily Plant  (Hybrid, Pack of 1)</t>
  </si>
  <si>
    <t>1739021598-164</t>
  </si>
  <si>
    <t>Durga Green Garden Golden Champa Plant  (Hybrid, Pack of 1)</t>
  </si>
  <si>
    <t>Durga Green Garden</t>
  </si>
  <si>
    <t>1739021601-165</t>
  </si>
  <si>
    <t>Grinian Bougainvillea Plant  (Hybrid, Pack of 1)</t>
  </si>
  <si>
    <t>1739021605-166</t>
  </si>
  <si>
    <t>EVY Lily Plant  (Hybrid, Pack of 1)</t>
  </si>
  <si>
    <t>₹389</t>
  </si>
  <si>
    <t>20 Year</t>
  </si>
  <si>
    <t>1739021608-167</t>
  </si>
  <si>
    <t>UGAOO Variegated Money Plant  (Pack of 1)</t>
  </si>
  <si>
    <t>₹445</t>
  </si>
  <si>
    <t>32% off</t>
  </si>
  <si>
    <t>1739021611-168</t>
  </si>
  <si>
    <t>minatigreenhouse Walnut Plant  (Hybrid, Pack of 1)</t>
  </si>
  <si>
    <t>₹137</t>
  </si>
  <si>
    <t>minatigreenhouse</t>
  </si>
  <si>
    <t>1739021614-169</t>
  </si>
  <si>
    <t>1 Live Hybrid Plant Saplings</t>
  </si>
  <si>
    <t>1739021617-170</t>
  </si>
  <si>
    <t>greenhousestore Elaichi/Cardamom Plant  (Hybrid, Pack of 1)</t>
  </si>
  <si>
    <t>1739021620-171</t>
  </si>
  <si>
    <t>Cloud Farm Ber Apple Plant  (Hybrid, Pack of 1)</t>
  </si>
  <si>
    <t>1739021622-172</t>
  </si>
  <si>
    <t>1739021625-173</t>
  </si>
  <si>
    <t>Gabbro Two Layer Bamboo Plant, Jade Plant  (Hybrid, Pack of 2)</t>
  </si>
  <si>
    <t>₹800</t>
  </si>
  <si>
    <t>₹390</t>
  </si>
  <si>
    <t>1739021629-174</t>
  </si>
  <si>
    <t>Click to buy Peace Lily Plant  (Hybrid, Pack of 1)</t>
  </si>
  <si>
    <t>₹251</t>
  </si>
  <si>
    <t>1739021631-175</t>
  </si>
  <si>
    <t>LivePlant Calathea Plant  (Pack of 1)</t>
  </si>
  <si>
    <t>₹210</t>
  </si>
  <si>
    <t>LivePlant</t>
  </si>
  <si>
    <t>1739021634-176</t>
  </si>
  <si>
    <t>Aquinnah Rose Plant  (Hybrid, Pack of 1)</t>
  </si>
  <si>
    <t>₹425</t>
  </si>
  <si>
    <t>1739021636-177</t>
  </si>
  <si>
    <t>Samarthgreens Red Sandalwood Plant  (Pack of 1)</t>
  </si>
  <si>
    <t>₹142</t>
  </si>
  <si>
    <t>1739021639-178</t>
  </si>
  <si>
    <t>Linaa Rubber Tree  (Hybrid, Pack of 1)</t>
  </si>
  <si>
    <t>1739021642-179</t>
  </si>
  <si>
    <t>Oxygreenplant Phoneix Palm Plant  (Hybrid, Pack of 1)</t>
  </si>
  <si>
    <t>₹384</t>
  </si>
  <si>
    <t>Oxygreenplant</t>
  </si>
  <si>
    <t>1739021644-180</t>
  </si>
  <si>
    <t>JD DAS AND SONS PLANTS Gerbera Plant  (Hybrid, Pack of 1)</t>
  </si>
  <si>
    <t>JD DAS AND SONS PLANTS</t>
  </si>
  <si>
    <t>1739021647-181</t>
  </si>
  <si>
    <t>Cloud Farm Golden Champa Plant  (Hybrid, Pack of 1)</t>
  </si>
  <si>
    <t>1739021649-182</t>
  </si>
  <si>
    <t>LaughEarth Ficus Bonsai  (Hybrid, Pack of 1)</t>
  </si>
  <si>
    <t>1739021653-183</t>
  </si>
  <si>
    <t>ABEFARIYA Mogra Flowering Plant, Jasmine Plant  (Hybrid, Pack of 1)</t>
  </si>
  <si>
    <t>1739021655-184</t>
  </si>
  <si>
    <t>1739021658-185</t>
  </si>
  <si>
    <t>JASSI FLORA Three Layer Bamboo Plant  (Hybrid, Pack of 1)</t>
  </si>
  <si>
    <t>JASSI FLORA</t>
  </si>
  <si>
    <t>1739021661-186</t>
  </si>
  <si>
    <t>Oxygreenplant Elaichi/Cardamom Plant  (Hybrid, Pack of 1)</t>
  </si>
  <si>
    <t>54% off</t>
  </si>
  <si>
    <t>1739021663-187</t>
  </si>
  <si>
    <t>UGAOO Brazilian Wood  (Pack of 1)</t>
  </si>
  <si>
    <t>₹1,999</t>
  </si>
  <si>
    <t>1739021666-188</t>
  </si>
  <si>
    <t>Farmplants Kalanchoe Plant  (Hybrid, Pack of 1)</t>
  </si>
  <si>
    <t>Farmplants</t>
  </si>
  <si>
    <t>1739021669-189</t>
  </si>
  <si>
    <t>EVY Kiwi Plant  (Hybrid, Pack of 1)</t>
  </si>
  <si>
    <t>1739021672-190</t>
  </si>
  <si>
    <t>varnicrea Mini Brazalian wood  (Pack of 1)</t>
  </si>
  <si>
    <t>89% off</t>
  </si>
  <si>
    <t>varnicrea</t>
  </si>
  <si>
    <t>1739021675-191</t>
  </si>
  <si>
    <t>Wavingleaf Jade Plant  (Pack of 1)</t>
  </si>
  <si>
    <t>₹295</t>
  </si>
  <si>
    <t>Wavingleaf</t>
  </si>
  <si>
    <t>1739021680-192</t>
  </si>
  <si>
    <t>The Four Seasons Tillandsia Fuchsii Rare Air Plant  (Pack of 1)</t>
  </si>
  <si>
    <t>₹550</t>
  </si>
  <si>
    <t>₹275</t>
  </si>
  <si>
    <t>The Four Seasons</t>
  </si>
  <si>
    <t>1739021683-193</t>
  </si>
  <si>
    <t>rimardmistu Strawberry Plant  (Hybrid, Pack of 1)</t>
  </si>
  <si>
    <t>1739021685-194</t>
  </si>
  <si>
    <t>1739021688-195</t>
  </si>
  <si>
    <t>RADHE SALES Mini Brazalian wood  (Pack of 1)</t>
  </si>
  <si>
    <t>₹1,399</t>
  </si>
  <si>
    <t>90% off</t>
  </si>
  <si>
    <t>RADHE SALES</t>
  </si>
  <si>
    <t>1739021690-196</t>
  </si>
  <si>
    <t>Growerstore Madhu Kamini Plant  (Hybrid, Pack of 1)</t>
  </si>
  <si>
    <t>Growerstore</t>
  </si>
  <si>
    <t>1739021693-197</t>
  </si>
  <si>
    <t>PB honey priya plant Grapes Plant  (Hybrid, Pack of 1)</t>
  </si>
  <si>
    <t>1739021696-198</t>
  </si>
  <si>
    <t>My Dream Nursery Two Layer Bamboo Plant  (Hybrid, Pack of 1)</t>
  </si>
  <si>
    <t>₹163</t>
  </si>
  <si>
    <t>My Dream Nursery</t>
  </si>
  <si>
    <t>1739021698-199</t>
  </si>
  <si>
    <t>Unisam Bel patra plant Pot Bel Plant  (Hybrid, Pack of 1)</t>
  </si>
  <si>
    <t>₹788</t>
  </si>
  <si>
    <t>Unisam Bel patra plant Pot</t>
  </si>
  <si>
    <t>1739021701-200</t>
  </si>
  <si>
    <t>AloGardening Chrysanthemums/ Guldavari Plant  (Hybrid, Pack of 1)</t>
  </si>
  <si>
    <t>1739021709-201</t>
  </si>
  <si>
    <t>PLANTTOOZS Ficus Bonsai  (Hybrid, Pack of 1)</t>
  </si>
  <si>
    <t>₹749</t>
  </si>
  <si>
    <t>1739021711-202</t>
  </si>
  <si>
    <t>greenhousestore Strawberry Plant  (Hybrid, Pack of 2)</t>
  </si>
  <si>
    <t>₹494</t>
  </si>
  <si>
    <t>1739021714-203</t>
  </si>
  <si>
    <t>RoyalTree Rose Plant  (Hybrid, Pack of 1)</t>
  </si>
  <si>
    <t>RoyalTree</t>
  </si>
  <si>
    <t>1739021716-204</t>
  </si>
  <si>
    <t>UGAOO Haworthia Cactus  (Pack of 1)</t>
  </si>
  <si>
    <t>₹239</t>
  </si>
  <si>
    <t>31% off</t>
  </si>
  <si>
    <t>1739021719-205</t>
  </si>
  <si>
    <t>TECNOFEX Money Plant, Bamboo Palm Plant, Lucky Bamboo Straight Stick  (Hybrid, Pack of 1)</t>
  </si>
  <si>
    <t>TECNOFEX</t>
  </si>
  <si>
    <t>1739021721-206</t>
  </si>
  <si>
    <t>Majumder Enterprise Bougainvillea Plant  (Hybrid, Pack of 1)</t>
  </si>
  <si>
    <t>Majumder Enterprise</t>
  </si>
  <si>
    <t>1739021724-207</t>
  </si>
  <si>
    <t>BRAZILIAN WOOD TREE Mini Brazalian wood  (Pack of 1)</t>
  </si>
  <si>
    <t>₹766</t>
  </si>
  <si>
    <t>BRAZILIAN WOOD TREE</t>
  </si>
  <si>
    <t>1739021726-208</t>
  </si>
  <si>
    <t>1739021729-209</t>
  </si>
  <si>
    <t>EVY Ashwagandha/Indian Ginseng  (Hybrid, Pack of 1)</t>
  </si>
  <si>
    <t>1739021732-210</t>
  </si>
  <si>
    <t>LaughEarth Areca Palm  (Hybrid, Pack of 1)</t>
  </si>
  <si>
    <t>1739021734-211</t>
  </si>
  <si>
    <t>PlantsHub Peace Lily Plant  (Hybrid, Pack of 1)</t>
  </si>
  <si>
    <t>PlantsHub</t>
  </si>
  <si>
    <t>1739021737-212</t>
  </si>
  <si>
    <t>FSK Aparajita/ Butterfly Pea Plant  (Hybrid, Pack of 2)</t>
  </si>
  <si>
    <t>1739021740-213</t>
  </si>
  <si>
    <t>greenhousestore Ber Apple Plant  (Hybrid, Pack of 1)</t>
  </si>
  <si>
    <t>Saraswati Gardens High Yield Hybrid Rare Ziziphus Mauritiana Indian Jujube Bare/Ber Apple Fruit Plant -1 Healthy Live Plant With Plastic Bag</t>
  </si>
  <si>
    <t>1739021742-214</t>
  </si>
  <si>
    <t>FSK Rose Plant  (Hybrid, Pack of 1)</t>
  </si>
  <si>
    <t>1739021745-215</t>
  </si>
  <si>
    <t>Cloud Farm Baugainvillea Plant  (Hybrid, Pack of 1)</t>
  </si>
  <si>
    <t>1739021747-216</t>
  </si>
  <si>
    <t>ToGon Rose Plant  (Hybrid, Pack of 4)</t>
  </si>
  <si>
    <t>Four Healthy Hybrid Rose Flower Plant(Pack of 4)</t>
  </si>
  <si>
    <t>ToGon</t>
  </si>
  <si>
    <t>1739021750-217</t>
  </si>
  <si>
    <t>greenhousestore Areca Palm  (Hybrid, Pack of 1)</t>
  </si>
  <si>
    <t>1739021753-218</t>
  </si>
  <si>
    <t>1739021757-219</t>
  </si>
  <si>
    <t>AloGardening Christmas Tree Plant  (Hybrid, Pack of 1)</t>
  </si>
  <si>
    <t>₹400</t>
  </si>
  <si>
    <t>1739021760-220</t>
  </si>
  <si>
    <t>Krishna All Time Grafted Mango Plant  (Hybrid, Pack of 1)</t>
  </si>
  <si>
    <t>₹386</t>
  </si>
  <si>
    <t>Krishna All Time Grafted</t>
  </si>
  <si>
    <t>1739021763-221</t>
  </si>
  <si>
    <t>greenhousestore Bougainvillea Plant  (Hybrid, Pack of 1)</t>
  </si>
  <si>
    <t>1739021767-222</t>
  </si>
  <si>
    <t>UGAOO Golden Money Plant  (Pack of 1)</t>
  </si>
  <si>
    <t>1739021770-223</t>
  </si>
  <si>
    <t>GLOBQRO Grape Plant  (Hybrid, Pack of 1)</t>
  </si>
  <si>
    <t>₹1,500</t>
  </si>
  <si>
    <t>91% off</t>
  </si>
  <si>
    <t>GLOBQRO</t>
  </si>
  <si>
    <t>1739021774-224</t>
  </si>
  <si>
    <t>AquinnahGaden Baugainvillea Plant  (Hybrid, Pack of 1)</t>
  </si>
  <si>
    <t>1739021778-225</t>
  </si>
  <si>
    <t>FSK China Palm Plant  (Hybrid, Pack of 1)</t>
  </si>
  <si>
    <t>₹147</t>
  </si>
  <si>
    <t>1739021780-226</t>
  </si>
  <si>
    <t>UGAOO Chlorophytum Spider Plant  (Pack of 1)</t>
  </si>
  <si>
    <t>₹219</t>
  </si>
  <si>
    <t>37% off</t>
  </si>
  <si>
    <t>1739021784-227</t>
  </si>
  <si>
    <t>Risenshine Jade Plant  (Hybrid, Pack of 1)</t>
  </si>
  <si>
    <t>Risenshine</t>
  </si>
  <si>
    <t>1739021786-228</t>
  </si>
  <si>
    <t>Samarthgreens Tuberose/Rajnigandha Plant  (Hybrid, Pack of 1)</t>
  </si>
  <si>
    <t>1739021789-229</t>
  </si>
  <si>
    <t>greenhousestore Litchi Plant  (Hybrid, Pack of 1)</t>
  </si>
  <si>
    <t>₹442</t>
  </si>
  <si>
    <t>1739021792-230</t>
  </si>
  <si>
    <t>Cloud Farm Areca Plam  (Pack of 1)</t>
  </si>
  <si>
    <t>1739021795-231</t>
  </si>
  <si>
    <t>EarthAngel Neem Plant  (Hybrid, Pack of 1)</t>
  </si>
  <si>
    <t>1739021798-232</t>
  </si>
  <si>
    <t>Agriclons and nusary Bryophyllum Pinnatum/Patharchatta Plant  (Hybrid, Pack of 1)</t>
  </si>
  <si>
    <t>Agriclons and nusary</t>
  </si>
  <si>
    <t>1739021802-233</t>
  </si>
  <si>
    <t>PLANTTOOZS Elaichi/Cardamom Plant  (Hybrid, Pack of 1)</t>
  </si>
  <si>
    <t>Garden Nature Care Elaichi/Cardamom Plant (Hybrid, Pack of 1)</t>
  </si>
  <si>
    <t>1739021806-234</t>
  </si>
  <si>
    <t>Laxmi kamal plant Laxmi Kamal Plant  (Hybrid, Pack of 2)</t>
  </si>
  <si>
    <t>₹890</t>
  </si>
  <si>
    <t>₹144</t>
  </si>
  <si>
    <t>Laxmi kamal plant</t>
  </si>
  <si>
    <t>1739021809-235</t>
  </si>
  <si>
    <t>LaughEarth Peace Lily Plant  (Hybrid, Pack of 1)</t>
  </si>
  <si>
    <t>1739021814-236</t>
  </si>
  <si>
    <t>MIDNIGHT MORNING Rose Plant  (Hybrid, Pack of 1)</t>
  </si>
  <si>
    <t>MIDNIGHT MORNING</t>
  </si>
  <si>
    <t>1739021818-237</t>
  </si>
  <si>
    <t>Tigress Tulsi Plant  (Hybrid, Pack of 1)</t>
  </si>
  <si>
    <t>₹190</t>
  </si>
  <si>
    <t>28% off</t>
  </si>
  <si>
    <t>Tigress</t>
  </si>
  <si>
    <t>1739021822-238</t>
  </si>
  <si>
    <t>JESAA GREENS Jade Plant, Money Plant, Snake Plant, Two Layer Bamboo Plant, Syngonium Bronze Maria Plant  (Pack of 5)</t>
  </si>
  <si>
    <t>₹1,599</t>
  </si>
  <si>
    <t>JESAA GREENS</t>
  </si>
  <si>
    <t>1739021826-239</t>
  </si>
  <si>
    <t>MAHAMAYA A TO Z Water Pennywort  (Pack of 2)</t>
  </si>
  <si>
    <t>₹1,033</t>
  </si>
  <si>
    <t>86% off</t>
  </si>
  <si>
    <t>MAHAMAYA A TO Z</t>
  </si>
  <si>
    <t>1739021830-240</t>
  </si>
  <si>
    <t>1739021839-241</t>
  </si>
  <si>
    <t>1739021844-242</t>
  </si>
  <si>
    <t>Axotic Diamond Grafted Apple Plant  (Hybrid, Pack of 1)</t>
  </si>
  <si>
    <t>Axotic Diamond Grafted</t>
  </si>
  <si>
    <t>1739021848-243</t>
  </si>
  <si>
    <t>Global Mart Plant Bougainvillea Plant  (Hybrid, Pack of 1)</t>
  </si>
  <si>
    <t>₹157</t>
  </si>
  <si>
    <t>Baisakhi Nursery Plant Bougainvillea Flower Plant Tree Hybrid Original variety tree Plant pack of 1 with grow bag live plant</t>
  </si>
  <si>
    <t>1739021851-244</t>
  </si>
  <si>
    <t>Risenshine Bryophyllum Pinnatum/Patharchatta Plant  (Pack of 1)</t>
  </si>
  <si>
    <t>₹113</t>
  </si>
  <si>
    <t>1739021855-245</t>
  </si>
  <si>
    <t>1739021860-246</t>
  </si>
  <si>
    <t>45% off</t>
  </si>
  <si>
    <t>1739021864-247</t>
  </si>
  <si>
    <t>bhowmick Areca Palm  (Hybrid, Pack of 1)</t>
  </si>
  <si>
    <t>bhowmick</t>
  </si>
  <si>
    <t>1739021867-248</t>
  </si>
  <si>
    <t>HARIGURU All Spice Plant  (Pack of 1)</t>
  </si>
  <si>
    <t>1739021871-249</t>
  </si>
  <si>
    <t>AloGardening Adenium Plant  (Hybrid, Pack of 2)</t>
  </si>
  <si>
    <t>1739021874-250</t>
  </si>
  <si>
    <t>Mohomaya Sweet Lemon Plant  (Hybrid, Pack of 1)</t>
  </si>
  <si>
    <t>Mohomaya</t>
  </si>
  <si>
    <t>1739021877-251</t>
  </si>
  <si>
    <t>bhowmick Baugainvillea Plant  (Hybrid, Pack of 1)</t>
  </si>
  <si>
    <t>1739021881-252</t>
  </si>
  <si>
    <t>My Dream Nursery Black Pepper Plant  (Hybrid, Pack of 1)</t>
  </si>
  <si>
    <t>₹200</t>
  </si>
  <si>
    <t>25% off</t>
  </si>
  <si>
    <t>1739021886-253</t>
  </si>
  <si>
    <t>AloGardening Adenium Plant  (Hybrid, Pack of 6)</t>
  </si>
  <si>
    <t>₹789</t>
  </si>
  <si>
    <t>1739021888-254</t>
  </si>
  <si>
    <t>RudraECOM Hibiscus Plant  (Hybrid, Pack of 1)</t>
  </si>
  <si>
    <t>RudraECOM</t>
  </si>
  <si>
    <t>1739021891-255</t>
  </si>
  <si>
    <t>MAHAMAYA A TO Z Mimosa pudica Plant  (Hybrid, Pack of 1)</t>
  </si>
  <si>
    <t>₹143</t>
  </si>
  <si>
    <t>1739021895-256</t>
  </si>
  <si>
    <t>Aquinnah Almond Plant  (Hybrid, Pack of 1)</t>
  </si>
  <si>
    <t>₹159</t>
  </si>
  <si>
    <t>1739021899-257</t>
  </si>
  <si>
    <t>Gabbro Two Layer Bamboo Plant  (Hybrid, Pack of 1)</t>
  </si>
  <si>
    <t>1739021902-258</t>
  </si>
  <si>
    <t>Heaven Of Saplings Areca Palm  (Hybrid, Pack of 1)</t>
  </si>
  <si>
    <t>1739021905-259</t>
  </si>
  <si>
    <t>SKDIYA Cherry Fruit Plant  (Hybrid, Pack of 1)</t>
  </si>
  <si>
    <t>₹595</t>
  </si>
  <si>
    <t>SKDIYA</t>
  </si>
  <si>
    <t>1739021907-260</t>
  </si>
  <si>
    <t>UGAOO Peace Lily Plant  (Pack of 1)</t>
  </si>
  <si>
    <t>1739021910-261</t>
  </si>
  <si>
    <t>ZOOMGREEN Areca Palm  (Pack of 1)</t>
  </si>
  <si>
    <t>1739021912-262</t>
  </si>
  <si>
    <t>ADA Shami/Jand Plant  (Pack of 1)</t>
  </si>
  <si>
    <t>1739021915-263</t>
  </si>
  <si>
    <t>Green view Coconut Plant  (Hybrid, Pack of 1)</t>
  </si>
  <si>
    <t>Green view</t>
  </si>
  <si>
    <t>1739021917-264</t>
  </si>
  <si>
    <t>PlantsBazaar Rubber Tree  (Pack of 1)</t>
  </si>
  <si>
    <t>PlantsBazaar</t>
  </si>
  <si>
    <t>1739021920-265</t>
  </si>
  <si>
    <t>SANJU Strawberry Plant  (Hybrid, Pack of 1)</t>
  </si>
  <si>
    <t>SANJU</t>
  </si>
  <si>
    <t>1739021925-266</t>
  </si>
  <si>
    <t>Aquinnah Graden Pistachio Plant  (Hybrid, Pack of 1)</t>
  </si>
  <si>
    <t>1739021928-267</t>
  </si>
  <si>
    <t>sspykrts Clove Plant  (Hybrid, Pack of 3)</t>
  </si>
  <si>
    <t>sspykrts</t>
  </si>
  <si>
    <t>1739021933-268</t>
  </si>
  <si>
    <t>1739021937-269</t>
  </si>
  <si>
    <t>₹625</t>
  </si>
  <si>
    <t>1739021939-270</t>
  </si>
  <si>
    <t>PLANTTOOZS Red Sandalwood Plant  (Pack of 1)</t>
  </si>
  <si>
    <t>1739021945-271</t>
  </si>
  <si>
    <t>₹141</t>
  </si>
  <si>
    <t>Hybrid Banana Live plant for fruiting, Gardening or devotional purpose [CF987j]</t>
  </si>
  <si>
    <t>1739021947-272</t>
  </si>
  <si>
    <t>₹289</t>
  </si>
  <si>
    <t>1739021950-273</t>
  </si>
  <si>
    <t>Cloud Farm Grapes Plant  (Hybrid, Pack of 2)</t>
  </si>
  <si>
    <t>1739021952-274</t>
  </si>
  <si>
    <t>Global Mart Plant Cannon Ball Tree Plant  (Hybrid, Pack of 1)</t>
  </si>
  <si>
    <t>1739021955-275</t>
  </si>
  <si>
    <t>1739021957-276</t>
  </si>
  <si>
    <t>₹271</t>
  </si>
  <si>
    <t>1739021960-277</t>
  </si>
  <si>
    <t>Ukaanda Money Plant  (Pack of 1)</t>
  </si>
  <si>
    <t>Ukaanda</t>
  </si>
  <si>
    <t>1739021963-278</t>
  </si>
  <si>
    <t>₹596</t>
  </si>
  <si>
    <t>1739021966-279</t>
  </si>
  <si>
    <t>Cloud Farm Money Plant  (Hybrid, Pack of 1)</t>
  </si>
  <si>
    <t>1739021968-280</t>
  </si>
  <si>
    <t>Phoolistan Ficus Plant  (Hybrid, Pack of 1)</t>
  </si>
  <si>
    <t>Phoolistan</t>
  </si>
  <si>
    <t>1739021973-281</t>
  </si>
  <si>
    <t>1739021976-282</t>
  </si>
  <si>
    <t>₹166</t>
  </si>
  <si>
    <t>1739021978-283</t>
  </si>
  <si>
    <t>UGAOO Golden Sedum Plant  (Pack of 1)</t>
  </si>
  <si>
    <t>42% off</t>
  </si>
  <si>
    <t>1739021981-284</t>
  </si>
  <si>
    <t>GLOBQRO Begonia Vanusta Plant  (Hybrid, Pack of 1)</t>
  </si>
  <si>
    <t>₹150</t>
  </si>
  <si>
    <t>1739021983-285</t>
  </si>
  <si>
    <t>greengrow Shami/Jand Plant  (Pack of 1)</t>
  </si>
  <si>
    <t>1739021986-286</t>
  </si>
  <si>
    <t>AloGardening Basmati Plant  (Hybrid, Pack of 1)</t>
  </si>
  <si>
    <t>₹178</t>
  </si>
  <si>
    <t>1739021988-287</t>
  </si>
  <si>
    <t>Cloud Farm Bougainvillea Plant  (Hybrid, Pack of 1)</t>
  </si>
  <si>
    <t>1739021991-288</t>
  </si>
  <si>
    <t>YourPlant Adenium Plant  (Hybrid, Pack of 2)</t>
  </si>
  <si>
    <t>₹649</t>
  </si>
  <si>
    <t>YourPlant</t>
  </si>
  <si>
    <t>1739021993-289</t>
  </si>
  <si>
    <t>PLANTGENIC NATURE White Sandalwood Plant  (Hybrid, Pack of 1)</t>
  </si>
  <si>
    <t>₹320</t>
  </si>
  <si>
    <t>PLANTGENIC NATURE</t>
  </si>
  <si>
    <t>1739021996-290</t>
  </si>
  <si>
    <t>GreenHorizon Bryophyllum Pinnatum/Patharchatta Plant  (Pack of 1)</t>
  </si>
  <si>
    <t>₹366</t>
  </si>
  <si>
    <t>0 Year</t>
  </si>
  <si>
    <t>1739021999-291</t>
  </si>
  <si>
    <t>1739022002-292</t>
  </si>
  <si>
    <t>Cloud Farm Coconut Plant  (Hybrid, Pack of 1)</t>
  </si>
  <si>
    <t>1739022004-293</t>
  </si>
  <si>
    <t>ibains Mini Brazalian wood  (Hybrid, Pack of 1)</t>
  </si>
  <si>
    <t>₹237</t>
  </si>
  <si>
    <t>Large</t>
  </si>
  <si>
    <t>1739022006-294</t>
  </si>
  <si>
    <t>Natural needs Adenium Plant  (Hybrid, Pack of 1)</t>
  </si>
  <si>
    <t>Natural needs</t>
  </si>
  <si>
    <t>1739022009-295</t>
  </si>
  <si>
    <t>LaughEarth Bougainvillea Plant  (Hybrid, Pack of 1)</t>
  </si>
  <si>
    <t>1739022012-296</t>
  </si>
  <si>
    <t>LaughEarth Hibiscus Plant  (Hybrid, Pack of 1)</t>
  </si>
  <si>
    <t>₹171</t>
  </si>
  <si>
    <t>1739022014-297</t>
  </si>
  <si>
    <t>LivePlant Money Plant  (Hybrid, Pack of 1)</t>
  </si>
  <si>
    <t>₹300</t>
  </si>
  <si>
    <t>1739022017-298</t>
  </si>
  <si>
    <t>Leafyjoy Brazilian Wood  (Pack of 1)</t>
  </si>
  <si>
    <t>₹346</t>
  </si>
  <si>
    <t>Leafyjoy</t>
  </si>
  <si>
    <t>1739022019-299</t>
  </si>
  <si>
    <t>1739022022-300</t>
  </si>
  <si>
    <t>greenhousestore Orange Plant  (Hybrid, Pack of 1)</t>
  </si>
  <si>
    <t>Hybrid Orange Plant. [v3]</t>
  </si>
  <si>
    <t>1739022024-301</t>
  </si>
  <si>
    <t>Cloud Farm Dragon Tree  (Hybrid, Pack of 5)</t>
  </si>
  <si>
    <t>5 Live Hybrid Plant Saplings</t>
  </si>
  <si>
    <t>1739022027-302</t>
  </si>
  <si>
    <t>KAVARI ENTERPRISE Rose Plant  (Hybrid, Pack of 1)</t>
  </si>
  <si>
    <t>KAVARI ENTERPRISE</t>
  </si>
  <si>
    <t>1739022030-303</t>
  </si>
  <si>
    <t>Hybrid Grafted Thai Chiku Live Plant [CF69]</t>
  </si>
  <si>
    <t>1739022033-304</t>
  </si>
  <si>
    <t>greenhousestore Adenium Plant  (Hybrid, Pack of 1)</t>
  </si>
  <si>
    <t>1739022035-305</t>
  </si>
  <si>
    <t>Cloud Farm Betel Leaf Plant  (Hybrid, Pack of 1)</t>
  </si>
  <si>
    <t>1739022038-306</t>
  </si>
  <si>
    <t>Risenshine Adenium Plant  (Hybrid, Pack of 1)</t>
  </si>
  <si>
    <t>New Best Quality|100% Adenium| Best 100% Quality |Plant Hybrid| Sapling|Grafted Plant</t>
  </si>
  <si>
    <t>1739022041-307</t>
  </si>
  <si>
    <t>TAWZIX Money Plant  (Hybrid, Pack of 1)</t>
  </si>
  <si>
    <t>TAWZIX</t>
  </si>
  <si>
    <t>1739022043-308</t>
  </si>
  <si>
    <t>EarthAngel Snake Plant  (Hybrid, Pack of 1)</t>
  </si>
  <si>
    <t>1739022046-309</t>
  </si>
  <si>
    <t>Aziz Gazi Nursery Dragon Tree  (Hybrid, Pack of 1)</t>
  </si>
  <si>
    <t>Dragon Fruit Plant (Hybrid Pack Of 1)</t>
  </si>
  <si>
    <t>Aziz Gazi Nursery</t>
  </si>
  <si>
    <t>1739022048-310</t>
  </si>
  <si>
    <t>Medhi Snake Plant  (Hybrid, Pack of 1)</t>
  </si>
  <si>
    <t>Medhi</t>
  </si>
  <si>
    <t>1739022051-311</t>
  </si>
  <si>
    <t>greenhousestore Ficus Bonsai  (Hybrid, Pack of 1)</t>
  </si>
  <si>
    <t>1739022053-312</t>
  </si>
  <si>
    <t>Saeedia plant hub Acanthocerous Tetragonous Mons Variegated Fairy Castle Plant  (Hybrid, Pack of 1)</t>
  </si>
  <si>
    <t>₹2,999</t>
  </si>
  <si>
    <t>₹288</t>
  </si>
  <si>
    <t>Saeedia plant hub</t>
  </si>
  <si>
    <t>1739022056-313</t>
  </si>
  <si>
    <t>AGRAWBIC Two Layer Bamboo Plant  (Hybrid, Pack of 1)</t>
  </si>
  <si>
    <t>AGRAWBIC</t>
  </si>
  <si>
    <t>1739022058-314</t>
  </si>
  <si>
    <t>Broken heart plant Broken Heart Plant  (Pack of 1)</t>
  </si>
  <si>
    <t>Indoor &amp; Outdoor, Indoor</t>
  </si>
  <si>
    <t>Broken heart plant</t>
  </si>
  <si>
    <t>1739022061-315</t>
  </si>
  <si>
    <t>Plant Paradise Rudraksha Plant  (Hybrid, Pack of 1)</t>
  </si>
  <si>
    <t>Plant Paradise</t>
  </si>
  <si>
    <t>1739022063-316</t>
  </si>
  <si>
    <t>Gardanglow Marsh Barbel Plant  (Hybrid, Pack of 1)</t>
  </si>
  <si>
    <t>₹570</t>
  </si>
  <si>
    <t>Gardanglow</t>
  </si>
  <si>
    <t>1739022066-317</t>
  </si>
  <si>
    <t>greenhousestore Baugainvillea Plant  (Hybrid, Pack of 1)</t>
  </si>
  <si>
    <t>1739022069-318</t>
  </si>
  <si>
    <t>Flora Solutions Money Plant  (Hybrid, Pack of 2)</t>
  </si>
  <si>
    <t>Flora Solutions</t>
  </si>
  <si>
    <t>1739022072-319</t>
  </si>
  <si>
    <t>HouseOfCommon Orange Plant  (Hybrid, Pack of 1)</t>
  </si>
  <si>
    <t>Outdoor, Indoor</t>
  </si>
  <si>
    <t>HouseOfCommon</t>
  </si>
  <si>
    <t>1739022075-320</t>
  </si>
  <si>
    <t>Real Nature Three Layer Bamboo Plant  (Hybrid, Pack of 1)</t>
  </si>
  <si>
    <t>₹659</t>
  </si>
  <si>
    <t>Real Nature</t>
  </si>
  <si>
    <t>1739022082-321</t>
  </si>
  <si>
    <t>1739022085-322</t>
  </si>
  <si>
    <t>1739022087-323</t>
  </si>
  <si>
    <t>PB honey priya plant Bottle Gourd  (Hybrid, Pack of 35)</t>
  </si>
  <si>
    <t>Vegetable</t>
  </si>
  <si>
    <t>1739022091-324</t>
  </si>
  <si>
    <t>Oxygreenplant Shahtoot/Mulberry Plant  (Hybrid, Pack of 1)</t>
  </si>
  <si>
    <t>1739022093-325</t>
  </si>
  <si>
    <t>Ukanda Canna Lily Plant  (Hybrid, Pack of 1)</t>
  </si>
  <si>
    <t>₹148</t>
  </si>
  <si>
    <t>1739022096-326</t>
  </si>
  <si>
    <t>LaughEarth Hibiscus Plant  (Hybrid, Pack of 3)</t>
  </si>
  <si>
    <t>₹379</t>
  </si>
  <si>
    <t>1739022100-327</t>
  </si>
  <si>
    <t>Real Nature Lucky Bamboo Plant  (Hybrid, Pack of 1)</t>
  </si>
  <si>
    <t>₹296</t>
  </si>
  <si>
    <t>1739022103-328</t>
  </si>
  <si>
    <t>greenhousestore Mint Plant  (Hybrid, Pack of 1)</t>
  </si>
  <si>
    <t>1739022108-329</t>
  </si>
  <si>
    <t>JESAA GREENS Money Plant, Bamboo Palm Plant  (Pack of 2)</t>
  </si>
  <si>
    <t>₹452</t>
  </si>
  <si>
    <t>1739022111-330</t>
  </si>
  <si>
    <t>GREENSEE Orchid Plant  (Hybrid, Pack of 4)</t>
  </si>
  <si>
    <t>₹359</t>
  </si>
  <si>
    <t>GREENSEE</t>
  </si>
  <si>
    <t>1739022113-331</t>
  </si>
  <si>
    <t>Cloud Farm Betal Leaf Plant  (Hybrid, Pack of 1)</t>
  </si>
  <si>
    <t>1739022117-332</t>
  </si>
  <si>
    <t>Aquinnah Betel Leaf Plant  (Hybrid, Pack of 1)</t>
  </si>
  <si>
    <t>1739022119-333</t>
  </si>
  <si>
    <t>THE BHOWMICK Mango Plant  (Hybrid, Pack of 1)</t>
  </si>
  <si>
    <t>THE BHOWMICK</t>
  </si>
  <si>
    <t>1739022123-334</t>
  </si>
  <si>
    <t>K.K.Enterprise Lemon Plant  (Hybrid, Pack of 1)</t>
  </si>
  <si>
    <t>₹363</t>
  </si>
  <si>
    <t>K.K.Enterprise</t>
  </si>
  <si>
    <t>1739022126-335</t>
  </si>
  <si>
    <t>Zomoloco Adenium Plant  (Hybrid, Pack of 1)</t>
  </si>
  <si>
    <t>1739022129-336</t>
  </si>
  <si>
    <t>Gaingreen Chiku Plant  (Hybrid, Pack of 1)</t>
  </si>
  <si>
    <t>Gaingreen</t>
  </si>
  <si>
    <t>1739022132-337</t>
  </si>
  <si>
    <t>Kyari Money Plant  (Pack of 1)</t>
  </si>
  <si>
    <t>1739022135-338</t>
  </si>
  <si>
    <t>saraswati traders ZZ Plant  (Hybrid, Pack of 1)</t>
  </si>
  <si>
    <t>saraswati traders</t>
  </si>
  <si>
    <t>1739022138-339</t>
  </si>
  <si>
    <t>GROSSAMER Lotus Plant, Syngonium Bronze Maria Plant  (Pack of 40)</t>
  </si>
  <si>
    <t>GROSSAMER</t>
  </si>
  <si>
    <t>1739022140-340</t>
  </si>
  <si>
    <t>PlantShop Orange Plant  (Hybrid, Pack of 1)</t>
  </si>
  <si>
    <t>PlantShop</t>
  </si>
  <si>
    <t>1739022143-341</t>
  </si>
  <si>
    <t>Grinian Aloe Vera Plant  (Hybrid, Pack of 1)</t>
  </si>
  <si>
    <t>Hybrid_Aloevera15</t>
  </si>
  <si>
    <t>1739022146-342</t>
  </si>
  <si>
    <t>greenhousestore Avocado Plant  (Hybrid, Pack of 1)</t>
  </si>
  <si>
    <t>1739022149-343</t>
  </si>
  <si>
    <t>FSK Hibiscus Plant  (Hybrid, Pack of 1)</t>
  </si>
  <si>
    <t>₹418</t>
  </si>
  <si>
    <t>₹109</t>
  </si>
  <si>
    <t>1739022151-344</t>
  </si>
  <si>
    <t>1739022154-345</t>
  </si>
  <si>
    <t>Tha live root vishnu kamal Furkeria Succulent Plant  (Hybrid, Pack of 1)</t>
  </si>
  <si>
    <t>₹590</t>
  </si>
  <si>
    <t>₹162</t>
  </si>
  <si>
    <t>Tha live root vishnu kamal</t>
  </si>
  <si>
    <t>1739022159-346</t>
  </si>
  <si>
    <t>greenhousestore Rose Plant  (Hybrid, Pack of 3)</t>
  </si>
  <si>
    <t>1739022163-347</t>
  </si>
  <si>
    <t>AloGardening Serissa Hedge Plant  (Hybrid, Pack of 1)</t>
  </si>
  <si>
    <t>1739022168-348</t>
  </si>
  <si>
    <t>Hug A Plant Cocoa Plant  (Hybrid, Pack of 1)</t>
  </si>
  <si>
    <t>1739022171-349</t>
  </si>
  <si>
    <t>My Dream Nursery Kiwi Plant  (Hybrid, Pack of 1)</t>
  </si>
  <si>
    <t>₹259</t>
  </si>
  <si>
    <t>23% off</t>
  </si>
  <si>
    <t>1739022174-350</t>
  </si>
  <si>
    <t>greenhousestore Chiku Plant  (Hybrid, Pack of 1)</t>
  </si>
  <si>
    <t>1739022176-351</t>
  </si>
  <si>
    <t>NiMoj Two Layer Bamboo Plant, Lucky Bamboo Straight Stick, Veld Grape Plant  (Hybrid, Pack of 1)</t>
  </si>
  <si>
    <t>₹242</t>
  </si>
  <si>
    <t>NiMoj</t>
  </si>
  <si>
    <t>1739022179-352</t>
  </si>
  <si>
    <t>ATIKNAM Mini Brazalian wood  (Hybrid, Pack of 1)</t>
  </si>
  <si>
    <t>ATIKNAM</t>
  </si>
  <si>
    <t>1739022181-353</t>
  </si>
  <si>
    <t>L BRAZILIAN LUCKY WOOD PLANT Basil Plant  (Hybrid, Pack of 1)</t>
  </si>
  <si>
    <t>L BRAZILIAN LUCKY WOOD PLANT</t>
  </si>
  <si>
    <t>1739022184-354</t>
  </si>
  <si>
    <t>greenhousestore Kiwi Plant  (Hybrid, Pack of 1)</t>
  </si>
  <si>
    <t>1739022186-355</t>
  </si>
  <si>
    <t>UGAOO Christmas Cactus Plant  (Pack of 1)</t>
  </si>
  <si>
    <t>1739022189-356</t>
  </si>
  <si>
    <t>GeenLk Golden Money Plant  (Hybrid, Pack of 1)</t>
  </si>
  <si>
    <t>43% off</t>
  </si>
  <si>
    <t>GeenLk</t>
  </si>
  <si>
    <t>1739022191-357</t>
  </si>
  <si>
    <t>Elanthalir Table Palm Plant  (Hybrid, Pack of 1)</t>
  </si>
  <si>
    <t>Elanthalir</t>
  </si>
  <si>
    <t>1739022194-358</t>
  </si>
  <si>
    <t>Samarthgreens Strawberry Plant  (Hybrid, Pack of 1)</t>
  </si>
  <si>
    <t>₹600</t>
  </si>
  <si>
    <t>1739022196-359</t>
  </si>
  <si>
    <t>1739022199-360</t>
  </si>
  <si>
    <t>UGAOO Golden Aralia Plant  (Pack of 1)</t>
  </si>
  <si>
    <t>1739022201-361</t>
  </si>
  <si>
    <t>₹421</t>
  </si>
  <si>
    <t>1739022204-362</t>
  </si>
  <si>
    <t>UGAOO Jade Plant  (Hybrid, Pack of 1)</t>
  </si>
  <si>
    <t>₹495</t>
  </si>
  <si>
    <t>1739022206-363</t>
  </si>
  <si>
    <t>1739022209-364</t>
  </si>
  <si>
    <t>Nursery Hub Jade Plant  (Pack of 6)</t>
  </si>
  <si>
    <t>₹1,533</t>
  </si>
  <si>
    <t>Nursery Hub</t>
  </si>
  <si>
    <t>1739022212-365</t>
  </si>
  <si>
    <t>UGAOO Two Layer Bamboo Plant  (Pack of 1)</t>
  </si>
  <si>
    <t>1739022215-366</t>
  </si>
  <si>
    <t>1739022217-367</t>
  </si>
  <si>
    <t>1739022221-368</t>
  </si>
  <si>
    <t>UGAOO Three Layer Bamboo Plant  (Pack of 1)</t>
  </si>
  <si>
    <t>30% off</t>
  </si>
  <si>
    <t>1739022224-369</t>
  </si>
  <si>
    <t>EVY Tuberose/Rajnigandha Plant  (Hybrid, Pack of 1)</t>
  </si>
  <si>
    <t>1739022226-370</t>
  </si>
  <si>
    <t>UGAOO Philodendron Micans Plant  (Pack of 1)</t>
  </si>
  <si>
    <t>₹329</t>
  </si>
  <si>
    <t>1739022229-371</t>
  </si>
  <si>
    <t>LaughEarth Parijat/Harsingar Plant  (Hybrid, Pack of 1)</t>
  </si>
  <si>
    <t>1739022231-372</t>
  </si>
  <si>
    <t>1739022240-373</t>
  </si>
  <si>
    <t>UGAOO Philodendron Brasil Plant  (Pack of 1)</t>
  </si>
  <si>
    <t>1739022242-374</t>
  </si>
  <si>
    <t>1739022245-375</t>
  </si>
  <si>
    <t>Unisam Laxmi Lakshmi Kamal Laxmi Kamal Plant  (Hybrid, Pack of 1)</t>
  </si>
  <si>
    <t>₹396</t>
  </si>
  <si>
    <t>₹177</t>
  </si>
  <si>
    <t>55% off</t>
  </si>
  <si>
    <t>Unisam Laxmi Lakshmi Kamal</t>
  </si>
  <si>
    <t>1739022248-376</t>
  </si>
  <si>
    <t>₹268</t>
  </si>
  <si>
    <t>1739022250-377</t>
  </si>
  <si>
    <t>Heaven Of Saplings Bacopa Monnieri  (Hybrid, Pack of 1)</t>
  </si>
  <si>
    <t>1739022253-378</t>
  </si>
  <si>
    <t>Cloud Farm Hibiscus Plant  (Hybrid, Pack of 4)</t>
  </si>
  <si>
    <t>1739022255-379</t>
  </si>
  <si>
    <t>₹555</t>
  </si>
  <si>
    <t>1739022258-380</t>
  </si>
  <si>
    <t>UGAOO Philodendron Plant  (Pack of 1)</t>
  </si>
  <si>
    <t>1739022260-381</t>
  </si>
  <si>
    <t>AloGardening Dragon Tree  (Hybrid, Pack of 3)</t>
  </si>
  <si>
    <t>1739022263-382</t>
  </si>
  <si>
    <t>1739022265-383</t>
  </si>
  <si>
    <t>UGAOO Green Philodendron Oxycardium Plant  (Pack of 1)</t>
  </si>
  <si>
    <t>1739022268-384</t>
  </si>
  <si>
    <t>1739022270-385</t>
  </si>
  <si>
    <t>HARIGURU All Spice Plant  (Hybrid, Pack of 1)</t>
  </si>
  <si>
    <t>1739022273-386</t>
  </si>
  <si>
    <t>UGAOO Njoy Money Plant  (Pack of 1)</t>
  </si>
  <si>
    <t>1739022275-387</t>
  </si>
  <si>
    <t>1739022278-388</t>
  </si>
  <si>
    <t>UGAOO Snake Plant  (Pack of 1)</t>
  </si>
  <si>
    <t>1739022280-389</t>
  </si>
  <si>
    <t>1739022283-390</t>
  </si>
  <si>
    <t>plantsNpetals Three Layer Bamboo Plant  (Hybrid, Pack of 1)</t>
  </si>
  <si>
    <t>plantsNpetals</t>
  </si>
  <si>
    <t>1739022285-391</t>
  </si>
  <si>
    <t>UGAOO Syngonium Plant  (Pack of 1)</t>
  </si>
  <si>
    <t>1739022288-392</t>
  </si>
  <si>
    <t>UGAOO Broken Heart Plant  (Pack of 1)</t>
  </si>
  <si>
    <t>1739022290-393</t>
  </si>
  <si>
    <t>1739022292-394</t>
  </si>
  <si>
    <t>UGAOO Jade Plant  (Pack of 1)</t>
  </si>
  <si>
    <t>1739022295-395</t>
  </si>
  <si>
    <t>TAYAN Bamboo Palm Plant  (Pack of 1)</t>
  </si>
  <si>
    <t>TAYAN</t>
  </si>
  <si>
    <t>1739022297-396</t>
  </si>
  <si>
    <t>Real Nature Two Layer Bamboo Plant  (Pack of 1)</t>
  </si>
  <si>
    <t>₹290</t>
  </si>
  <si>
    <t>6 Year</t>
  </si>
  <si>
    <t>1739022300-397</t>
  </si>
  <si>
    <t>GIRISHA TRADERS Two Layer Bamboo Plant, Lucky Bamboo Straight Stick, Dracaena Plant  (Pack of 1)</t>
  </si>
  <si>
    <t>GIRISHA TRADERS</t>
  </si>
  <si>
    <t>1739022302-398</t>
  </si>
  <si>
    <t>1739022305-399</t>
  </si>
  <si>
    <t>plantsNpetals Two Layer Bamboo Plant  (Hybrid, Pack of 1)</t>
  </si>
  <si>
    <t>1739022307-400</t>
  </si>
  <si>
    <t>RJGUDDU Mini Brazalian wood  (Hybrid, Pack of 1)</t>
  </si>
  <si>
    <t>RJGUDDU</t>
  </si>
  <si>
    <t>Both</t>
  </si>
  <si>
    <t>Orignal Price</t>
  </si>
  <si>
    <t xml:space="preserve">mean </t>
  </si>
  <si>
    <t>median</t>
  </si>
  <si>
    <t>mode</t>
  </si>
  <si>
    <t>Discount</t>
  </si>
  <si>
    <t>Plant size</t>
  </si>
  <si>
    <t xml:space="preserve">Plant Age </t>
  </si>
  <si>
    <t>Row Labels</t>
  </si>
  <si>
    <t>Grand Total</t>
  </si>
  <si>
    <t>Count of web-scraper-order</t>
  </si>
  <si>
    <t>Count of name</t>
  </si>
  <si>
    <t>Average of special price</t>
  </si>
  <si>
    <t>Average of discount</t>
  </si>
  <si>
    <t>Card</t>
  </si>
  <si>
    <t>CARD</t>
  </si>
  <si>
    <t>plant age (years)</t>
  </si>
  <si>
    <t>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</si>
</sst>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 #,##0.0"/>
    <numFmt numFmtId="166"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theme="9" tint="0.39997558519241921"/>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49" fontId="0" fillId="0" borderId="0" xfId="0" applyNumberFormat="1"/>
    <xf numFmtId="49" fontId="0" fillId="2" borderId="0" xfId="0" applyNumberFormat="1" applyFill="1"/>
    <xf numFmtId="2" fontId="0" fillId="0" borderId="0" xfId="0" applyNumberFormat="1"/>
    <xf numFmtId="2" fontId="0" fillId="2" borderId="0" xfId="0" applyNumberFormat="1" applyFill="1"/>
    <xf numFmtId="9" fontId="0" fillId="0" borderId="0" xfId="0" applyNumberFormat="1"/>
    <xf numFmtId="1" fontId="0" fillId="0" borderId="0" xfId="0" applyNumberFormat="1"/>
    <xf numFmtId="0" fontId="0" fillId="3" borderId="0" xfId="0" applyFill="1"/>
    <xf numFmtId="0" fontId="0" fillId="0" borderId="0" xfId="0" pivotButton="1"/>
    <xf numFmtId="0" fontId="0" fillId="0" borderId="0" xfId="0" applyAlignment="1">
      <alignment horizontal="left"/>
    </xf>
    <xf numFmtId="0" fontId="0" fillId="2" borderId="0" xfId="0" applyFill="1" applyAlignment="1">
      <alignment horizontal="left"/>
    </xf>
    <xf numFmtId="9" fontId="0" fillId="2" borderId="0" xfId="1" applyFont="1" applyFill="1"/>
    <xf numFmtId="0" fontId="2" fillId="4" borderId="1" xfId="0" applyFont="1" applyFill="1" applyBorder="1"/>
    <xf numFmtId="0" fontId="2" fillId="0" borderId="1" xfId="0" applyFont="1" applyBorder="1"/>
    <xf numFmtId="9" fontId="0" fillId="0" borderId="0" xfId="1" applyFont="1"/>
    <xf numFmtId="165" fontId="0" fillId="2" borderId="0" xfId="0" applyNumberFormat="1" applyFill="1"/>
    <xf numFmtId="165" fontId="0" fillId="0" borderId="0" xfId="0" applyNumberFormat="1"/>
    <xf numFmtId="166" fontId="0" fillId="2" borderId="0" xfId="0" applyNumberFormat="1" applyFill="1"/>
    <xf numFmtId="166" fontId="0" fillId="0" borderId="0" xfId="0" applyNumberFormat="1"/>
    <xf numFmtId="0" fontId="0" fillId="0" borderId="0" xfId="0" applyNumberForma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[Online_plant_sales.xlsx]TOP 5!PivotTable7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5'!$A$4:$A$10</c:f>
              <c:strCache>
                <c:ptCount val="6"/>
                <c:pt idx="0">
                  <c:v>greenhousestore</c:v>
                </c:pt>
                <c:pt idx="1">
                  <c:v>Cloud Farm</c:v>
                </c:pt>
                <c:pt idx="2">
                  <c:v>UGAOO</c:v>
                </c:pt>
                <c:pt idx="3">
                  <c:v>AloGardening</c:v>
                </c:pt>
                <c:pt idx="4">
                  <c:v>LaughEarth</c:v>
                </c:pt>
                <c:pt idx="5">
                  <c:v>AquinnahGaden</c:v>
                </c:pt>
              </c:strCache>
            </c:strRef>
          </c:cat>
          <c:val>
            <c:numRef>
              <c:f>'TOP 5'!$B$4:$B$10</c:f>
              <c:numCache>
                <c:formatCode>General</c:formatCode>
                <c:ptCount val="6"/>
                <c:pt idx="0">
                  <c:v>53</c:v>
                </c:pt>
                <c:pt idx="1">
                  <c:v>26</c:v>
                </c:pt>
                <c:pt idx="2">
                  <c:v>14</c:v>
                </c:pt>
                <c:pt idx="3">
                  <c:v>14</c:v>
                </c:pt>
                <c:pt idx="4">
                  <c:v>9</c:v>
                </c:pt>
                <c:pt idx="5">
                  <c:v>9</c:v>
                </c:pt>
              </c:numCache>
            </c:numRef>
          </c:val>
          <c:extLst>
            <c:ext xmlns:c16="http://schemas.microsoft.com/office/drawing/2014/chart" uri="{C3380CC4-5D6E-409C-BE32-E72D297353CC}">
              <c16:uniqueId val="{00000000-393B-485E-BC42-A9C771DE8DCC}"/>
            </c:ext>
          </c:extLst>
        </c:ser>
        <c:dLbls>
          <c:showLegendKey val="0"/>
          <c:showVal val="0"/>
          <c:showCatName val="0"/>
          <c:showSerName val="0"/>
          <c:showPercent val="0"/>
          <c:showBubbleSize val="0"/>
        </c:dLbls>
        <c:gapWidth val="219"/>
        <c:overlap val="-27"/>
        <c:axId val="790444783"/>
        <c:axId val="790445743"/>
      </c:barChart>
      <c:catAx>
        <c:axId val="79044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45743"/>
        <c:crosses val="autoZero"/>
        <c:auto val="1"/>
        <c:lblAlgn val="ctr"/>
        <c:lblOffset val="100"/>
        <c:noMultiLvlLbl val="0"/>
      </c:catAx>
      <c:valAx>
        <c:axId val="79044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4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[Online_plant_sales.xlsx]Total_count!PivotTable1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Total_count!$B$3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74-4986-9985-08675587BC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74-4986-9985-08675587BC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Total_count!$A$4:$A$6</c:f>
              <c:strCache>
                <c:ptCount val="2"/>
                <c:pt idx="0">
                  <c:v>No</c:v>
                </c:pt>
                <c:pt idx="1">
                  <c:v>Yes</c:v>
                </c:pt>
              </c:strCache>
            </c:strRef>
          </c:cat>
          <c:val>
            <c:numRef>
              <c:f>Total_count!$B$4:$B$6</c:f>
              <c:numCache>
                <c:formatCode>General</c:formatCode>
                <c:ptCount val="2"/>
                <c:pt idx="0">
                  <c:v>155</c:v>
                </c:pt>
                <c:pt idx="1">
                  <c:v>196</c:v>
                </c:pt>
              </c:numCache>
            </c:numRef>
          </c:val>
          <c:extLst>
            <c:ext xmlns:c16="http://schemas.microsoft.com/office/drawing/2014/chart" uri="{C3380CC4-5D6E-409C-BE32-E72D297353CC}">
              <c16:uniqueId val="{00000000-552A-4E24-AC51-782FB6D09F2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[Online_plant_sales.xlsx]Returns_count!PivotTable1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Returns_count!$B$3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41-48A8-BD65-68A34C2BEE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Returns_count!$A$4:$A$5</c:f>
              <c:strCache>
                <c:ptCount val="1"/>
                <c:pt idx="0">
                  <c:v>No Returns Allowed?</c:v>
                </c:pt>
              </c:strCache>
            </c:strRef>
          </c:cat>
          <c:val>
            <c:numRef>
              <c:f>Returns_count!$B$4:$B$5</c:f>
              <c:numCache>
                <c:formatCode>General</c:formatCode>
                <c:ptCount val="1"/>
                <c:pt idx="0">
                  <c:v>351</c:v>
                </c:pt>
              </c:numCache>
            </c:numRef>
          </c:val>
          <c:extLst>
            <c:ext xmlns:c16="http://schemas.microsoft.com/office/drawing/2014/chart" uri="{C3380CC4-5D6E-409C-BE32-E72D297353CC}">
              <c16:uniqueId val="{00000000-A3B3-445B-8A0B-3A58E17061D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'Sp and discount'!$B$1</c:f>
              <c:strCache>
                <c:ptCount val="1"/>
                <c:pt idx="0">
                  <c:v>discount</c:v>
                </c:pt>
              </c:strCache>
            </c:strRef>
          </c:tx>
          <c:spPr>
            <a:ln w="19050" cap="rnd">
              <a:noFill/>
              <a:round/>
            </a:ln>
            <a:effectLst/>
          </c:spPr>
          <c:marker>
            <c:symbol val="circle"/>
            <c:size val="5"/>
            <c:spPr>
              <a:solidFill>
                <a:schemeClr val="accent1"/>
              </a:solidFill>
              <a:ln w="9525">
                <a:solidFill>
                  <a:schemeClr val="accent1"/>
                </a:solidFill>
              </a:ln>
              <a:effectLst/>
            </c:spPr>
          </c:marker>
          <c:xVal>
            <c:numRef>
              <c:f>'Sp and discount'!$A$2:$A$352</c:f>
              <c:numCache>
                <c:formatCode>0.00</c:formatCode>
                <c:ptCount val="351"/>
                <c:pt idx="0">
                  <c:v>199</c:v>
                </c:pt>
                <c:pt idx="1">
                  <c:v>130</c:v>
                </c:pt>
                <c:pt idx="2">
                  <c:v>249</c:v>
                </c:pt>
                <c:pt idx="3">
                  <c:v>120</c:v>
                </c:pt>
                <c:pt idx="4">
                  <c:v>124</c:v>
                </c:pt>
                <c:pt idx="5">
                  <c:v>120</c:v>
                </c:pt>
                <c:pt idx="6">
                  <c:v>125</c:v>
                </c:pt>
                <c:pt idx="7">
                  <c:v>135</c:v>
                </c:pt>
                <c:pt idx="8">
                  <c:v>121</c:v>
                </c:pt>
                <c:pt idx="9">
                  <c:v>125</c:v>
                </c:pt>
                <c:pt idx="10">
                  <c:v>130</c:v>
                </c:pt>
                <c:pt idx="11">
                  <c:v>128</c:v>
                </c:pt>
                <c:pt idx="12">
                  <c:v>130</c:v>
                </c:pt>
                <c:pt idx="13">
                  <c:v>140</c:v>
                </c:pt>
                <c:pt idx="14">
                  <c:v>126</c:v>
                </c:pt>
                <c:pt idx="15">
                  <c:v>120</c:v>
                </c:pt>
                <c:pt idx="16">
                  <c:v>179</c:v>
                </c:pt>
                <c:pt idx="17">
                  <c:v>186</c:v>
                </c:pt>
                <c:pt idx="18">
                  <c:v>185</c:v>
                </c:pt>
                <c:pt idx="19">
                  <c:v>160</c:v>
                </c:pt>
                <c:pt idx="20">
                  <c:v>119</c:v>
                </c:pt>
                <c:pt idx="21">
                  <c:v>139</c:v>
                </c:pt>
                <c:pt idx="22">
                  <c:v>118</c:v>
                </c:pt>
                <c:pt idx="23">
                  <c:v>149</c:v>
                </c:pt>
                <c:pt idx="24">
                  <c:v>118</c:v>
                </c:pt>
                <c:pt idx="25">
                  <c:v>123</c:v>
                </c:pt>
                <c:pt idx="26">
                  <c:v>126</c:v>
                </c:pt>
                <c:pt idx="27">
                  <c:v>121</c:v>
                </c:pt>
                <c:pt idx="28">
                  <c:v>115</c:v>
                </c:pt>
                <c:pt idx="29">
                  <c:v>140</c:v>
                </c:pt>
                <c:pt idx="30">
                  <c:v>140</c:v>
                </c:pt>
                <c:pt idx="31">
                  <c:v>140</c:v>
                </c:pt>
                <c:pt idx="32">
                  <c:v>123</c:v>
                </c:pt>
                <c:pt idx="33">
                  <c:v>127</c:v>
                </c:pt>
                <c:pt idx="34">
                  <c:v>180</c:v>
                </c:pt>
                <c:pt idx="35">
                  <c:v>130</c:v>
                </c:pt>
                <c:pt idx="36">
                  <c:v>258</c:v>
                </c:pt>
                <c:pt idx="37">
                  <c:v>125</c:v>
                </c:pt>
                <c:pt idx="38">
                  <c:v>125</c:v>
                </c:pt>
                <c:pt idx="39">
                  <c:v>258</c:v>
                </c:pt>
                <c:pt idx="40">
                  <c:v>180</c:v>
                </c:pt>
                <c:pt idx="41">
                  <c:v>127</c:v>
                </c:pt>
                <c:pt idx="42">
                  <c:v>125</c:v>
                </c:pt>
                <c:pt idx="43">
                  <c:v>130</c:v>
                </c:pt>
                <c:pt idx="44">
                  <c:v>189</c:v>
                </c:pt>
                <c:pt idx="45">
                  <c:v>132</c:v>
                </c:pt>
                <c:pt idx="46">
                  <c:v>123</c:v>
                </c:pt>
                <c:pt idx="47">
                  <c:v>165</c:v>
                </c:pt>
                <c:pt idx="48">
                  <c:v>256</c:v>
                </c:pt>
                <c:pt idx="49">
                  <c:v>196</c:v>
                </c:pt>
                <c:pt idx="50">
                  <c:v>125</c:v>
                </c:pt>
                <c:pt idx="51">
                  <c:v>126</c:v>
                </c:pt>
                <c:pt idx="52">
                  <c:v>114</c:v>
                </c:pt>
                <c:pt idx="53">
                  <c:v>120</c:v>
                </c:pt>
                <c:pt idx="54">
                  <c:v>139</c:v>
                </c:pt>
                <c:pt idx="55">
                  <c:v>226</c:v>
                </c:pt>
                <c:pt idx="56">
                  <c:v>125</c:v>
                </c:pt>
                <c:pt idx="57">
                  <c:v>118</c:v>
                </c:pt>
                <c:pt idx="58">
                  <c:v>118</c:v>
                </c:pt>
                <c:pt idx="59">
                  <c:v>149</c:v>
                </c:pt>
                <c:pt idx="60">
                  <c:v>132</c:v>
                </c:pt>
                <c:pt idx="61">
                  <c:v>119</c:v>
                </c:pt>
                <c:pt idx="62">
                  <c:v>149</c:v>
                </c:pt>
                <c:pt idx="63">
                  <c:v>120</c:v>
                </c:pt>
                <c:pt idx="64">
                  <c:v>160</c:v>
                </c:pt>
                <c:pt idx="65">
                  <c:v>135</c:v>
                </c:pt>
                <c:pt idx="66">
                  <c:v>127</c:v>
                </c:pt>
                <c:pt idx="67">
                  <c:v>122</c:v>
                </c:pt>
                <c:pt idx="68">
                  <c:v>115</c:v>
                </c:pt>
                <c:pt idx="69">
                  <c:v>118</c:v>
                </c:pt>
                <c:pt idx="70">
                  <c:v>122</c:v>
                </c:pt>
                <c:pt idx="71">
                  <c:v>125</c:v>
                </c:pt>
                <c:pt idx="72">
                  <c:v>120</c:v>
                </c:pt>
                <c:pt idx="73">
                  <c:v>117</c:v>
                </c:pt>
                <c:pt idx="74">
                  <c:v>134</c:v>
                </c:pt>
                <c:pt idx="75">
                  <c:v>135</c:v>
                </c:pt>
                <c:pt idx="76">
                  <c:v>146</c:v>
                </c:pt>
                <c:pt idx="77">
                  <c:v>135</c:v>
                </c:pt>
                <c:pt idx="78">
                  <c:v>119</c:v>
                </c:pt>
                <c:pt idx="79">
                  <c:v>112</c:v>
                </c:pt>
                <c:pt idx="80">
                  <c:v>146</c:v>
                </c:pt>
                <c:pt idx="81">
                  <c:v>191</c:v>
                </c:pt>
                <c:pt idx="82">
                  <c:v>124</c:v>
                </c:pt>
                <c:pt idx="83">
                  <c:v>161</c:v>
                </c:pt>
                <c:pt idx="84">
                  <c:v>125</c:v>
                </c:pt>
                <c:pt idx="85">
                  <c:v>121</c:v>
                </c:pt>
                <c:pt idx="86">
                  <c:v>189</c:v>
                </c:pt>
                <c:pt idx="87">
                  <c:v>220</c:v>
                </c:pt>
                <c:pt idx="88">
                  <c:v>133</c:v>
                </c:pt>
                <c:pt idx="89">
                  <c:v>174</c:v>
                </c:pt>
                <c:pt idx="90">
                  <c:v>139</c:v>
                </c:pt>
                <c:pt idx="91">
                  <c:v>175</c:v>
                </c:pt>
                <c:pt idx="92">
                  <c:v>125</c:v>
                </c:pt>
                <c:pt idx="93">
                  <c:v>124</c:v>
                </c:pt>
                <c:pt idx="94">
                  <c:v>120</c:v>
                </c:pt>
                <c:pt idx="95">
                  <c:v>185</c:v>
                </c:pt>
                <c:pt idx="96">
                  <c:v>126</c:v>
                </c:pt>
                <c:pt idx="97">
                  <c:v>167</c:v>
                </c:pt>
                <c:pt idx="98">
                  <c:v>135</c:v>
                </c:pt>
                <c:pt idx="99">
                  <c:v>125</c:v>
                </c:pt>
                <c:pt idx="100">
                  <c:v>145</c:v>
                </c:pt>
                <c:pt idx="101">
                  <c:v>152</c:v>
                </c:pt>
                <c:pt idx="102">
                  <c:v>130</c:v>
                </c:pt>
                <c:pt idx="103">
                  <c:v>130</c:v>
                </c:pt>
                <c:pt idx="104">
                  <c:v>135</c:v>
                </c:pt>
                <c:pt idx="105">
                  <c:v>146</c:v>
                </c:pt>
                <c:pt idx="106">
                  <c:v>199</c:v>
                </c:pt>
                <c:pt idx="107">
                  <c:v>169</c:v>
                </c:pt>
                <c:pt idx="108">
                  <c:v>128</c:v>
                </c:pt>
                <c:pt idx="109">
                  <c:v>169</c:v>
                </c:pt>
                <c:pt idx="110">
                  <c:v>120</c:v>
                </c:pt>
                <c:pt idx="111">
                  <c:v>199</c:v>
                </c:pt>
                <c:pt idx="112">
                  <c:v>123</c:v>
                </c:pt>
                <c:pt idx="113">
                  <c:v>127</c:v>
                </c:pt>
                <c:pt idx="114">
                  <c:v>140</c:v>
                </c:pt>
                <c:pt idx="115">
                  <c:v>130</c:v>
                </c:pt>
                <c:pt idx="116">
                  <c:v>180</c:v>
                </c:pt>
                <c:pt idx="117">
                  <c:v>250</c:v>
                </c:pt>
                <c:pt idx="118">
                  <c:v>136</c:v>
                </c:pt>
                <c:pt idx="119">
                  <c:v>170</c:v>
                </c:pt>
                <c:pt idx="120">
                  <c:v>125</c:v>
                </c:pt>
                <c:pt idx="121">
                  <c:v>115</c:v>
                </c:pt>
                <c:pt idx="122">
                  <c:v>127</c:v>
                </c:pt>
                <c:pt idx="123">
                  <c:v>130</c:v>
                </c:pt>
                <c:pt idx="124">
                  <c:v>129</c:v>
                </c:pt>
                <c:pt idx="125">
                  <c:v>140</c:v>
                </c:pt>
                <c:pt idx="126">
                  <c:v>165</c:v>
                </c:pt>
                <c:pt idx="127">
                  <c:v>196</c:v>
                </c:pt>
                <c:pt idx="128">
                  <c:v>120</c:v>
                </c:pt>
                <c:pt idx="129">
                  <c:v>138</c:v>
                </c:pt>
                <c:pt idx="130">
                  <c:v>160</c:v>
                </c:pt>
                <c:pt idx="131">
                  <c:v>125</c:v>
                </c:pt>
                <c:pt idx="132">
                  <c:v>125</c:v>
                </c:pt>
                <c:pt idx="133">
                  <c:v>122</c:v>
                </c:pt>
                <c:pt idx="134">
                  <c:v>173</c:v>
                </c:pt>
                <c:pt idx="135">
                  <c:v>123</c:v>
                </c:pt>
                <c:pt idx="136">
                  <c:v>121</c:v>
                </c:pt>
                <c:pt idx="137">
                  <c:v>160</c:v>
                </c:pt>
                <c:pt idx="138">
                  <c:v>135</c:v>
                </c:pt>
                <c:pt idx="139">
                  <c:v>183</c:v>
                </c:pt>
                <c:pt idx="140">
                  <c:v>182</c:v>
                </c:pt>
                <c:pt idx="141">
                  <c:v>126</c:v>
                </c:pt>
                <c:pt idx="142">
                  <c:v>123</c:v>
                </c:pt>
                <c:pt idx="143">
                  <c:v>127</c:v>
                </c:pt>
                <c:pt idx="144">
                  <c:v>155</c:v>
                </c:pt>
                <c:pt idx="145">
                  <c:v>119</c:v>
                </c:pt>
                <c:pt idx="146">
                  <c:v>158</c:v>
                </c:pt>
                <c:pt idx="147">
                  <c:v>119</c:v>
                </c:pt>
                <c:pt idx="148">
                  <c:v>131</c:v>
                </c:pt>
                <c:pt idx="149">
                  <c:v>119</c:v>
                </c:pt>
                <c:pt idx="150">
                  <c:v>126</c:v>
                </c:pt>
                <c:pt idx="151">
                  <c:v>126</c:v>
                </c:pt>
                <c:pt idx="152">
                  <c:v>123</c:v>
                </c:pt>
                <c:pt idx="153">
                  <c:v>126</c:v>
                </c:pt>
                <c:pt idx="154">
                  <c:v>123</c:v>
                </c:pt>
                <c:pt idx="155">
                  <c:v>161</c:v>
                </c:pt>
                <c:pt idx="156">
                  <c:v>137</c:v>
                </c:pt>
                <c:pt idx="157">
                  <c:v>122</c:v>
                </c:pt>
                <c:pt idx="158">
                  <c:v>125</c:v>
                </c:pt>
                <c:pt idx="159">
                  <c:v>129</c:v>
                </c:pt>
                <c:pt idx="160">
                  <c:v>119</c:v>
                </c:pt>
                <c:pt idx="161">
                  <c:v>118</c:v>
                </c:pt>
                <c:pt idx="162">
                  <c:v>210</c:v>
                </c:pt>
                <c:pt idx="163">
                  <c:v>122</c:v>
                </c:pt>
                <c:pt idx="164">
                  <c:v>142</c:v>
                </c:pt>
                <c:pt idx="165">
                  <c:v>145</c:v>
                </c:pt>
                <c:pt idx="166">
                  <c:v>140</c:v>
                </c:pt>
                <c:pt idx="167">
                  <c:v>129</c:v>
                </c:pt>
                <c:pt idx="168">
                  <c:v>126</c:v>
                </c:pt>
                <c:pt idx="169">
                  <c:v>126</c:v>
                </c:pt>
                <c:pt idx="170">
                  <c:v>133</c:v>
                </c:pt>
                <c:pt idx="171">
                  <c:v>125</c:v>
                </c:pt>
                <c:pt idx="172">
                  <c:v>174</c:v>
                </c:pt>
                <c:pt idx="173">
                  <c:v>135</c:v>
                </c:pt>
                <c:pt idx="174">
                  <c:v>145</c:v>
                </c:pt>
                <c:pt idx="175">
                  <c:v>139</c:v>
                </c:pt>
                <c:pt idx="176">
                  <c:v>125</c:v>
                </c:pt>
                <c:pt idx="177">
                  <c:v>127</c:v>
                </c:pt>
                <c:pt idx="178">
                  <c:v>126</c:v>
                </c:pt>
                <c:pt idx="179">
                  <c:v>128</c:v>
                </c:pt>
                <c:pt idx="180">
                  <c:v>129</c:v>
                </c:pt>
                <c:pt idx="181">
                  <c:v>127</c:v>
                </c:pt>
                <c:pt idx="182">
                  <c:v>128</c:v>
                </c:pt>
                <c:pt idx="183">
                  <c:v>163</c:v>
                </c:pt>
                <c:pt idx="184">
                  <c:v>132</c:v>
                </c:pt>
                <c:pt idx="185">
                  <c:v>140</c:v>
                </c:pt>
                <c:pt idx="186">
                  <c:v>130</c:v>
                </c:pt>
                <c:pt idx="187">
                  <c:v>129</c:v>
                </c:pt>
                <c:pt idx="188">
                  <c:v>155</c:v>
                </c:pt>
                <c:pt idx="189">
                  <c:v>239</c:v>
                </c:pt>
                <c:pt idx="190">
                  <c:v>129</c:v>
                </c:pt>
                <c:pt idx="191">
                  <c:v>128</c:v>
                </c:pt>
                <c:pt idx="192">
                  <c:v>128</c:v>
                </c:pt>
                <c:pt idx="193">
                  <c:v>126</c:v>
                </c:pt>
                <c:pt idx="194">
                  <c:v>139</c:v>
                </c:pt>
                <c:pt idx="195">
                  <c:v>160</c:v>
                </c:pt>
                <c:pt idx="196">
                  <c:v>135</c:v>
                </c:pt>
                <c:pt idx="197">
                  <c:v>124</c:v>
                </c:pt>
                <c:pt idx="198">
                  <c:v>127</c:v>
                </c:pt>
                <c:pt idx="199">
                  <c:v>132</c:v>
                </c:pt>
                <c:pt idx="200">
                  <c:v>127</c:v>
                </c:pt>
                <c:pt idx="201">
                  <c:v>140</c:v>
                </c:pt>
                <c:pt idx="202">
                  <c:v>120</c:v>
                </c:pt>
                <c:pt idx="203">
                  <c:v>122</c:v>
                </c:pt>
                <c:pt idx="204">
                  <c:v>153</c:v>
                </c:pt>
                <c:pt idx="205">
                  <c:v>125</c:v>
                </c:pt>
                <c:pt idx="206">
                  <c:v>130</c:v>
                </c:pt>
                <c:pt idx="207">
                  <c:v>249</c:v>
                </c:pt>
                <c:pt idx="208">
                  <c:v>125</c:v>
                </c:pt>
                <c:pt idx="209">
                  <c:v>128</c:v>
                </c:pt>
                <c:pt idx="210">
                  <c:v>147</c:v>
                </c:pt>
                <c:pt idx="211">
                  <c:v>219</c:v>
                </c:pt>
                <c:pt idx="212">
                  <c:v>125</c:v>
                </c:pt>
                <c:pt idx="213">
                  <c:v>118</c:v>
                </c:pt>
                <c:pt idx="214">
                  <c:v>127</c:v>
                </c:pt>
                <c:pt idx="215">
                  <c:v>135</c:v>
                </c:pt>
                <c:pt idx="216">
                  <c:v>126</c:v>
                </c:pt>
                <c:pt idx="217">
                  <c:v>125</c:v>
                </c:pt>
                <c:pt idx="218">
                  <c:v>122</c:v>
                </c:pt>
                <c:pt idx="219">
                  <c:v>144</c:v>
                </c:pt>
                <c:pt idx="220">
                  <c:v>135</c:v>
                </c:pt>
                <c:pt idx="221">
                  <c:v>122</c:v>
                </c:pt>
                <c:pt idx="222">
                  <c:v>135</c:v>
                </c:pt>
                <c:pt idx="223">
                  <c:v>139</c:v>
                </c:pt>
                <c:pt idx="224">
                  <c:v>127</c:v>
                </c:pt>
                <c:pt idx="225">
                  <c:v>199</c:v>
                </c:pt>
                <c:pt idx="226">
                  <c:v>122</c:v>
                </c:pt>
                <c:pt idx="227">
                  <c:v>157</c:v>
                </c:pt>
                <c:pt idx="228">
                  <c:v>113</c:v>
                </c:pt>
                <c:pt idx="229">
                  <c:v>125</c:v>
                </c:pt>
                <c:pt idx="230">
                  <c:v>189</c:v>
                </c:pt>
                <c:pt idx="231">
                  <c:v>169</c:v>
                </c:pt>
                <c:pt idx="232">
                  <c:v>185</c:v>
                </c:pt>
                <c:pt idx="233">
                  <c:v>189</c:v>
                </c:pt>
                <c:pt idx="234">
                  <c:v>115</c:v>
                </c:pt>
                <c:pt idx="235">
                  <c:v>134</c:v>
                </c:pt>
                <c:pt idx="236">
                  <c:v>149</c:v>
                </c:pt>
                <c:pt idx="237">
                  <c:v>125</c:v>
                </c:pt>
                <c:pt idx="238">
                  <c:v>143</c:v>
                </c:pt>
                <c:pt idx="239">
                  <c:v>159</c:v>
                </c:pt>
                <c:pt idx="240">
                  <c:v>135</c:v>
                </c:pt>
                <c:pt idx="241">
                  <c:v>137</c:v>
                </c:pt>
                <c:pt idx="242">
                  <c:v>129</c:v>
                </c:pt>
                <c:pt idx="243">
                  <c:v>125</c:v>
                </c:pt>
                <c:pt idx="244">
                  <c:v>145</c:v>
                </c:pt>
                <c:pt idx="245">
                  <c:v>119</c:v>
                </c:pt>
                <c:pt idx="246">
                  <c:v>145</c:v>
                </c:pt>
                <c:pt idx="247">
                  <c:v>126</c:v>
                </c:pt>
                <c:pt idx="248">
                  <c:v>124</c:v>
                </c:pt>
                <c:pt idx="249">
                  <c:v>122</c:v>
                </c:pt>
                <c:pt idx="250">
                  <c:v>141</c:v>
                </c:pt>
                <c:pt idx="251">
                  <c:v>135</c:v>
                </c:pt>
                <c:pt idx="252">
                  <c:v>125</c:v>
                </c:pt>
                <c:pt idx="253">
                  <c:v>189</c:v>
                </c:pt>
                <c:pt idx="254">
                  <c:v>127</c:v>
                </c:pt>
                <c:pt idx="255">
                  <c:v>126</c:v>
                </c:pt>
                <c:pt idx="256">
                  <c:v>130</c:v>
                </c:pt>
                <c:pt idx="257">
                  <c:v>130</c:v>
                </c:pt>
                <c:pt idx="258">
                  <c:v>126</c:v>
                </c:pt>
                <c:pt idx="259">
                  <c:v>166</c:v>
                </c:pt>
                <c:pt idx="260">
                  <c:v>199</c:v>
                </c:pt>
                <c:pt idx="261">
                  <c:v>150</c:v>
                </c:pt>
                <c:pt idx="262">
                  <c:v>127</c:v>
                </c:pt>
                <c:pt idx="263">
                  <c:v>178</c:v>
                </c:pt>
                <c:pt idx="264">
                  <c:v>135</c:v>
                </c:pt>
                <c:pt idx="265">
                  <c:v>145</c:v>
                </c:pt>
                <c:pt idx="266">
                  <c:v>121</c:v>
                </c:pt>
                <c:pt idx="267">
                  <c:v>134</c:v>
                </c:pt>
                <c:pt idx="268">
                  <c:v>134</c:v>
                </c:pt>
                <c:pt idx="269">
                  <c:v>150</c:v>
                </c:pt>
                <c:pt idx="270">
                  <c:v>237</c:v>
                </c:pt>
                <c:pt idx="271">
                  <c:v>126</c:v>
                </c:pt>
                <c:pt idx="272">
                  <c:v>139</c:v>
                </c:pt>
                <c:pt idx="273">
                  <c:v>171</c:v>
                </c:pt>
                <c:pt idx="274">
                  <c:v>113</c:v>
                </c:pt>
                <c:pt idx="275">
                  <c:v>165</c:v>
                </c:pt>
                <c:pt idx="276">
                  <c:v>158</c:v>
                </c:pt>
                <c:pt idx="277">
                  <c:v>120</c:v>
                </c:pt>
                <c:pt idx="278">
                  <c:v>136</c:v>
                </c:pt>
                <c:pt idx="279">
                  <c:v>155</c:v>
                </c:pt>
                <c:pt idx="280">
                  <c:v>126</c:v>
                </c:pt>
                <c:pt idx="281">
                  <c:v>135</c:v>
                </c:pt>
                <c:pt idx="282">
                  <c:v>127</c:v>
                </c:pt>
                <c:pt idx="283">
                  <c:v>127</c:v>
                </c:pt>
                <c:pt idx="284">
                  <c:v>125</c:v>
                </c:pt>
                <c:pt idx="285">
                  <c:v>163</c:v>
                </c:pt>
                <c:pt idx="286">
                  <c:v>128</c:v>
                </c:pt>
                <c:pt idx="287">
                  <c:v>139</c:v>
                </c:pt>
                <c:pt idx="288">
                  <c:v>155</c:v>
                </c:pt>
                <c:pt idx="289">
                  <c:v>180</c:v>
                </c:pt>
                <c:pt idx="290">
                  <c:v>155</c:v>
                </c:pt>
                <c:pt idx="291">
                  <c:v>143</c:v>
                </c:pt>
                <c:pt idx="292">
                  <c:v>135</c:v>
                </c:pt>
                <c:pt idx="293">
                  <c:v>129</c:v>
                </c:pt>
                <c:pt idx="294">
                  <c:v>199</c:v>
                </c:pt>
                <c:pt idx="295">
                  <c:v>120</c:v>
                </c:pt>
                <c:pt idx="296">
                  <c:v>139</c:v>
                </c:pt>
                <c:pt idx="297">
                  <c:v>113</c:v>
                </c:pt>
                <c:pt idx="298">
                  <c:v>126</c:v>
                </c:pt>
                <c:pt idx="299">
                  <c:v>148</c:v>
                </c:pt>
                <c:pt idx="300">
                  <c:v>134</c:v>
                </c:pt>
                <c:pt idx="301">
                  <c:v>126</c:v>
                </c:pt>
                <c:pt idx="302">
                  <c:v>130</c:v>
                </c:pt>
                <c:pt idx="303">
                  <c:v>122</c:v>
                </c:pt>
                <c:pt idx="304">
                  <c:v>135</c:v>
                </c:pt>
                <c:pt idx="305">
                  <c:v>125</c:v>
                </c:pt>
                <c:pt idx="306">
                  <c:v>120</c:v>
                </c:pt>
                <c:pt idx="307">
                  <c:v>199</c:v>
                </c:pt>
                <c:pt idx="308">
                  <c:v>120</c:v>
                </c:pt>
                <c:pt idx="309">
                  <c:v>121</c:v>
                </c:pt>
                <c:pt idx="310">
                  <c:v>135</c:v>
                </c:pt>
                <c:pt idx="311">
                  <c:v>149</c:v>
                </c:pt>
                <c:pt idx="312">
                  <c:v>118</c:v>
                </c:pt>
                <c:pt idx="313">
                  <c:v>122</c:v>
                </c:pt>
                <c:pt idx="314">
                  <c:v>115</c:v>
                </c:pt>
                <c:pt idx="315">
                  <c:v>109</c:v>
                </c:pt>
                <c:pt idx="316">
                  <c:v>122</c:v>
                </c:pt>
                <c:pt idx="317">
                  <c:v>162</c:v>
                </c:pt>
                <c:pt idx="318">
                  <c:v>138</c:v>
                </c:pt>
                <c:pt idx="319">
                  <c:v>136</c:v>
                </c:pt>
                <c:pt idx="320">
                  <c:v>199</c:v>
                </c:pt>
                <c:pt idx="321">
                  <c:v>127</c:v>
                </c:pt>
                <c:pt idx="322">
                  <c:v>242</c:v>
                </c:pt>
                <c:pt idx="323">
                  <c:v>128</c:v>
                </c:pt>
                <c:pt idx="324">
                  <c:v>134</c:v>
                </c:pt>
                <c:pt idx="325">
                  <c:v>126</c:v>
                </c:pt>
                <c:pt idx="326">
                  <c:v>199</c:v>
                </c:pt>
                <c:pt idx="327">
                  <c:v>170</c:v>
                </c:pt>
                <c:pt idx="328">
                  <c:v>142</c:v>
                </c:pt>
                <c:pt idx="329">
                  <c:v>121</c:v>
                </c:pt>
                <c:pt idx="330">
                  <c:v>137</c:v>
                </c:pt>
                <c:pt idx="331">
                  <c:v>199</c:v>
                </c:pt>
                <c:pt idx="332">
                  <c:v>171</c:v>
                </c:pt>
                <c:pt idx="333">
                  <c:v>169</c:v>
                </c:pt>
                <c:pt idx="334">
                  <c:v>249</c:v>
                </c:pt>
                <c:pt idx="335">
                  <c:v>129</c:v>
                </c:pt>
                <c:pt idx="336">
                  <c:v>134</c:v>
                </c:pt>
                <c:pt idx="337">
                  <c:v>125</c:v>
                </c:pt>
                <c:pt idx="338">
                  <c:v>123</c:v>
                </c:pt>
                <c:pt idx="339">
                  <c:v>177</c:v>
                </c:pt>
                <c:pt idx="340">
                  <c:v>135</c:v>
                </c:pt>
                <c:pt idx="341">
                  <c:v>165</c:v>
                </c:pt>
                <c:pt idx="342">
                  <c:v>133</c:v>
                </c:pt>
                <c:pt idx="343">
                  <c:v>179</c:v>
                </c:pt>
                <c:pt idx="344">
                  <c:v>199</c:v>
                </c:pt>
                <c:pt idx="345">
                  <c:v>249</c:v>
                </c:pt>
                <c:pt idx="346">
                  <c:v>199</c:v>
                </c:pt>
                <c:pt idx="347">
                  <c:v>199</c:v>
                </c:pt>
                <c:pt idx="348">
                  <c:v>199</c:v>
                </c:pt>
                <c:pt idx="349">
                  <c:v>229</c:v>
                </c:pt>
                <c:pt idx="350">
                  <c:v>199</c:v>
                </c:pt>
              </c:numCache>
            </c:numRef>
          </c:xVal>
          <c:yVal>
            <c:numRef>
              <c:f>'Sp and discount'!$B$2:$B$352</c:f>
              <c:numCache>
                <c:formatCode>0%</c:formatCode>
                <c:ptCount val="351"/>
                <c:pt idx="0">
                  <c:v>0.6</c:v>
                </c:pt>
                <c:pt idx="1">
                  <c:v>0.78</c:v>
                </c:pt>
                <c:pt idx="2">
                  <c:v>0.5</c:v>
                </c:pt>
                <c:pt idx="3">
                  <c:v>0.69</c:v>
                </c:pt>
                <c:pt idx="4">
                  <c:v>0.68</c:v>
                </c:pt>
                <c:pt idx="5">
                  <c:v>0.79</c:v>
                </c:pt>
                <c:pt idx="6">
                  <c:v>0.74</c:v>
                </c:pt>
                <c:pt idx="7">
                  <c:v>0.72</c:v>
                </c:pt>
                <c:pt idx="8">
                  <c:v>0.75</c:v>
                </c:pt>
                <c:pt idx="9">
                  <c:v>0.74</c:v>
                </c:pt>
                <c:pt idx="10">
                  <c:v>0.56000000000000005</c:v>
                </c:pt>
                <c:pt idx="11">
                  <c:v>0.74</c:v>
                </c:pt>
                <c:pt idx="12">
                  <c:v>0.67</c:v>
                </c:pt>
                <c:pt idx="13">
                  <c:v>0.71</c:v>
                </c:pt>
                <c:pt idx="14">
                  <c:v>0.84</c:v>
                </c:pt>
                <c:pt idx="15">
                  <c:v>0.71</c:v>
                </c:pt>
                <c:pt idx="16">
                  <c:v>0.6</c:v>
                </c:pt>
                <c:pt idx="17">
                  <c:v>0.53</c:v>
                </c:pt>
                <c:pt idx="18">
                  <c:v>0.53</c:v>
                </c:pt>
                <c:pt idx="19">
                  <c:v>0.59</c:v>
                </c:pt>
                <c:pt idx="20">
                  <c:v>0.7</c:v>
                </c:pt>
                <c:pt idx="21">
                  <c:v>0.4</c:v>
                </c:pt>
                <c:pt idx="22">
                  <c:v>0.6</c:v>
                </c:pt>
                <c:pt idx="23">
                  <c:v>0.75</c:v>
                </c:pt>
                <c:pt idx="24">
                  <c:v>0.82</c:v>
                </c:pt>
                <c:pt idx="25">
                  <c:v>0.69</c:v>
                </c:pt>
                <c:pt idx="26">
                  <c:v>0.63</c:v>
                </c:pt>
                <c:pt idx="27">
                  <c:v>0.75</c:v>
                </c:pt>
                <c:pt idx="28">
                  <c:v>0.61</c:v>
                </c:pt>
                <c:pt idx="29">
                  <c:v>0.71</c:v>
                </c:pt>
                <c:pt idx="30">
                  <c:v>0.64</c:v>
                </c:pt>
                <c:pt idx="31">
                  <c:v>0.71</c:v>
                </c:pt>
                <c:pt idx="32">
                  <c:v>0.79</c:v>
                </c:pt>
                <c:pt idx="33">
                  <c:v>0.76</c:v>
                </c:pt>
                <c:pt idx="34">
                  <c:v>0.39</c:v>
                </c:pt>
                <c:pt idx="35">
                  <c:v>0.67</c:v>
                </c:pt>
                <c:pt idx="36">
                  <c:v>0.48</c:v>
                </c:pt>
                <c:pt idx="37">
                  <c:v>0.79</c:v>
                </c:pt>
                <c:pt idx="38">
                  <c:v>0.87</c:v>
                </c:pt>
                <c:pt idx="39">
                  <c:v>0.48</c:v>
                </c:pt>
                <c:pt idx="40">
                  <c:v>0.39</c:v>
                </c:pt>
                <c:pt idx="41">
                  <c:v>0.76</c:v>
                </c:pt>
                <c:pt idx="42">
                  <c:v>0.79</c:v>
                </c:pt>
                <c:pt idx="43">
                  <c:v>0.67</c:v>
                </c:pt>
                <c:pt idx="44">
                  <c:v>0.62</c:v>
                </c:pt>
                <c:pt idx="45">
                  <c:v>0.33</c:v>
                </c:pt>
                <c:pt idx="46">
                  <c:v>0.75</c:v>
                </c:pt>
                <c:pt idx="47">
                  <c:v>0.66</c:v>
                </c:pt>
                <c:pt idx="48">
                  <c:v>0.35</c:v>
                </c:pt>
                <c:pt idx="49">
                  <c:v>0.78</c:v>
                </c:pt>
                <c:pt idx="50">
                  <c:v>0.79</c:v>
                </c:pt>
                <c:pt idx="51">
                  <c:v>0.64</c:v>
                </c:pt>
                <c:pt idx="52">
                  <c:v>0.61</c:v>
                </c:pt>
                <c:pt idx="53">
                  <c:v>0.51</c:v>
                </c:pt>
                <c:pt idx="54">
                  <c:v>0.72</c:v>
                </c:pt>
                <c:pt idx="55">
                  <c:v>0.62</c:v>
                </c:pt>
                <c:pt idx="56">
                  <c:v>0.78</c:v>
                </c:pt>
                <c:pt idx="57">
                  <c:v>0.71</c:v>
                </c:pt>
                <c:pt idx="58">
                  <c:v>0.7</c:v>
                </c:pt>
                <c:pt idx="59">
                  <c:v>0.7</c:v>
                </c:pt>
                <c:pt idx="60">
                  <c:v>0.51</c:v>
                </c:pt>
                <c:pt idx="61">
                  <c:v>0.52</c:v>
                </c:pt>
                <c:pt idx="62">
                  <c:v>0.69</c:v>
                </c:pt>
                <c:pt idx="63">
                  <c:v>0.47</c:v>
                </c:pt>
                <c:pt idx="64">
                  <c:v>0.59</c:v>
                </c:pt>
                <c:pt idx="65">
                  <c:v>0.72</c:v>
                </c:pt>
                <c:pt idx="66">
                  <c:v>0.81</c:v>
                </c:pt>
                <c:pt idx="67">
                  <c:v>0.75</c:v>
                </c:pt>
                <c:pt idx="68">
                  <c:v>0.66</c:v>
                </c:pt>
                <c:pt idx="69">
                  <c:v>0.7</c:v>
                </c:pt>
                <c:pt idx="70">
                  <c:v>0.75</c:v>
                </c:pt>
                <c:pt idx="71">
                  <c:v>0.68</c:v>
                </c:pt>
                <c:pt idx="72">
                  <c:v>0.52</c:v>
                </c:pt>
                <c:pt idx="73">
                  <c:v>0.8</c:v>
                </c:pt>
                <c:pt idx="74">
                  <c:v>0.66</c:v>
                </c:pt>
                <c:pt idx="75">
                  <c:v>0.77</c:v>
                </c:pt>
                <c:pt idx="76">
                  <c:v>0.81</c:v>
                </c:pt>
                <c:pt idx="77">
                  <c:v>0.68</c:v>
                </c:pt>
                <c:pt idx="78">
                  <c:v>0.76</c:v>
                </c:pt>
                <c:pt idx="79">
                  <c:v>0.26</c:v>
                </c:pt>
                <c:pt idx="80">
                  <c:v>0.85</c:v>
                </c:pt>
                <c:pt idx="81">
                  <c:v>0.61</c:v>
                </c:pt>
                <c:pt idx="82">
                  <c:v>0.75</c:v>
                </c:pt>
                <c:pt idx="83">
                  <c:v>0.46</c:v>
                </c:pt>
                <c:pt idx="84">
                  <c:v>0.79</c:v>
                </c:pt>
                <c:pt idx="85">
                  <c:v>0.67</c:v>
                </c:pt>
                <c:pt idx="86">
                  <c:v>0.36</c:v>
                </c:pt>
                <c:pt idx="87">
                  <c:v>0.63</c:v>
                </c:pt>
                <c:pt idx="88">
                  <c:v>0.68</c:v>
                </c:pt>
                <c:pt idx="89">
                  <c:v>0.56000000000000005</c:v>
                </c:pt>
                <c:pt idx="90">
                  <c:v>0.76</c:v>
                </c:pt>
                <c:pt idx="91">
                  <c:v>0.41</c:v>
                </c:pt>
                <c:pt idx="92">
                  <c:v>0.74</c:v>
                </c:pt>
                <c:pt idx="93">
                  <c:v>0.68</c:v>
                </c:pt>
                <c:pt idx="94">
                  <c:v>0.61</c:v>
                </c:pt>
                <c:pt idx="95">
                  <c:v>0.53</c:v>
                </c:pt>
                <c:pt idx="96">
                  <c:v>0.78</c:v>
                </c:pt>
                <c:pt idx="97">
                  <c:v>0.83</c:v>
                </c:pt>
                <c:pt idx="98">
                  <c:v>0.68</c:v>
                </c:pt>
                <c:pt idx="99">
                  <c:v>0.57999999999999996</c:v>
                </c:pt>
                <c:pt idx="100">
                  <c:v>0.7</c:v>
                </c:pt>
                <c:pt idx="101">
                  <c:v>0.69</c:v>
                </c:pt>
                <c:pt idx="102">
                  <c:v>0.67</c:v>
                </c:pt>
                <c:pt idx="103">
                  <c:v>0.78</c:v>
                </c:pt>
                <c:pt idx="104">
                  <c:v>0.68</c:v>
                </c:pt>
                <c:pt idx="105">
                  <c:v>0.83</c:v>
                </c:pt>
                <c:pt idx="106">
                  <c:v>0.6</c:v>
                </c:pt>
                <c:pt idx="107">
                  <c:v>0.66</c:v>
                </c:pt>
                <c:pt idx="108">
                  <c:v>0.74</c:v>
                </c:pt>
                <c:pt idx="109">
                  <c:v>0.71</c:v>
                </c:pt>
                <c:pt idx="110">
                  <c:v>0.75</c:v>
                </c:pt>
                <c:pt idx="111">
                  <c:v>0.6</c:v>
                </c:pt>
                <c:pt idx="112">
                  <c:v>0.74</c:v>
                </c:pt>
                <c:pt idx="113">
                  <c:v>0.68</c:v>
                </c:pt>
                <c:pt idx="114">
                  <c:v>0.88</c:v>
                </c:pt>
                <c:pt idx="115">
                  <c:v>0.73</c:v>
                </c:pt>
                <c:pt idx="116">
                  <c:v>0.39</c:v>
                </c:pt>
                <c:pt idx="117">
                  <c:v>0.16</c:v>
                </c:pt>
                <c:pt idx="118">
                  <c:v>0.72</c:v>
                </c:pt>
                <c:pt idx="119">
                  <c:v>0.56999999999999995</c:v>
                </c:pt>
                <c:pt idx="120">
                  <c:v>0.49</c:v>
                </c:pt>
                <c:pt idx="121">
                  <c:v>0.76</c:v>
                </c:pt>
                <c:pt idx="122">
                  <c:v>0.68</c:v>
                </c:pt>
                <c:pt idx="123">
                  <c:v>0.56000000000000005</c:v>
                </c:pt>
                <c:pt idx="124">
                  <c:v>0.74</c:v>
                </c:pt>
                <c:pt idx="125">
                  <c:v>0.76</c:v>
                </c:pt>
                <c:pt idx="126">
                  <c:v>0.57999999999999996</c:v>
                </c:pt>
                <c:pt idx="127">
                  <c:v>0.6</c:v>
                </c:pt>
                <c:pt idx="128">
                  <c:v>0.79</c:v>
                </c:pt>
                <c:pt idx="129">
                  <c:v>0.72</c:v>
                </c:pt>
                <c:pt idx="130">
                  <c:v>0.73</c:v>
                </c:pt>
                <c:pt idx="131">
                  <c:v>0.74</c:v>
                </c:pt>
                <c:pt idx="132">
                  <c:v>0.74</c:v>
                </c:pt>
                <c:pt idx="133">
                  <c:v>0.75</c:v>
                </c:pt>
                <c:pt idx="134">
                  <c:v>0.78</c:v>
                </c:pt>
                <c:pt idx="135">
                  <c:v>0.74</c:v>
                </c:pt>
                <c:pt idx="136">
                  <c:v>0.79</c:v>
                </c:pt>
                <c:pt idx="137">
                  <c:v>0.59</c:v>
                </c:pt>
                <c:pt idx="138">
                  <c:v>0.72</c:v>
                </c:pt>
                <c:pt idx="139">
                  <c:v>0.38</c:v>
                </c:pt>
                <c:pt idx="140">
                  <c:v>0.47</c:v>
                </c:pt>
                <c:pt idx="141">
                  <c:v>0.78</c:v>
                </c:pt>
                <c:pt idx="142">
                  <c:v>0.69</c:v>
                </c:pt>
                <c:pt idx="143">
                  <c:v>0.56999999999999995</c:v>
                </c:pt>
                <c:pt idx="144">
                  <c:v>0.44</c:v>
                </c:pt>
                <c:pt idx="145">
                  <c:v>0.6</c:v>
                </c:pt>
                <c:pt idx="146">
                  <c:v>0.6</c:v>
                </c:pt>
                <c:pt idx="147">
                  <c:v>0.51</c:v>
                </c:pt>
                <c:pt idx="148">
                  <c:v>0.7</c:v>
                </c:pt>
                <c:pt idx="149">
                  <c:v>0.72</c:v>
                </c:pt>
                <c:pt idx="150">
                  <c:v>0.78</c:v>
                </c:pt>
                <c:pt idx="151">
                  <c:v>0.68</c:v>
                </c:pt>
                <c:pt idx="152">
                  <c:v>0.57999999999999996</c:v>
                </c:pt>
                <c:pt idx="153">
                  <c:v>0.74</c:v>
                </c:pt>
                <c:pt idx="154">
                  <c:v>0.75</c:v>
                </c:pt>
                <c:pt idx="155">
                  <c:v>0.57999999999999996</c:v>
                </c:pt>
                <c:pt idx="156">
                  <c:v>0.65</c:v>
                </c:pt>
                <c:pt idx="157">
                  <c:v>0.75</c:v>
                </c:pt>
                <c:pt idx="158">
                  <c:v>0.79</c:v>
                </c:pt>
                <c:pt idx="159">
                  <c:v>0.74</c:v>
                </c:pt>
                <c:pt idx="160">
                  <c:v>0.76</c:v>
                </c:pt>
                <c:pt idx="161">
                  <c:v>0.52</c:v>
                </c:pt>
                <c:pt idx="162">
                  <c:v>0.56999999999999995</c:v>
                </c:pt>
                <c:pt idx="163">
                  <c:v>0.71</c:v>
                </c:pt>
                <c:pt idx="164">
                  <c:v>0.64</c:v>
                </c:pt>
                <c:pt idx="165">
                  <c:v>0.82</c:v>
                </c:pt>
                <c:pt idx="166">
                  <c:v>0.63</c:v>
                </c:pt>
                <c:pt idx="167">
                  <c:v>0.78</c:v>
                </c:pt>
                <c:pt idx="168">
                  <c:v>0.56999999999999995</c:v>
                </c:pt>
                <c:pt idx="169">
                  <c:v>0.74</c:v>
                </c:pt>
                <c:pt idx="170">
                  <c:v>0.88</c:v>
                </c:pt>
                <c:pt idx="171">
                  <c:v>0.79</c:v>
                </c:pt>
                <c:pt idx="172">
                  <c:v>0.78</c:v>
                </c:pt>
                <c:pt idx="173">
                  <c:v>0.54</c:v>
                </c:pt>
                <c:pt idx="174">
                  <c:v>0.67</c:v>
                </c:pt>
                <c:pt idx="175">
                  <c:v>0.72</c:v>
                </c:pt>
                <c:pt idx="176">
                  <c:v>0.89</c:v>
                </c:pt>
                <c:pt idx="177">
                  <c:v>0.56000000000000005</c:v>
                </c:pt>
                <c:pt idx="178">
                  <c:v>0.68</c:v>
                </c:pt>
                <c:pt idx="179">
                  <c:v>0.78</c:v>
                </c:pt>
                <c:pt idx="180">
                  <c:v>0.9</c:v>
                </c:pt>
                <c:pt idx="181">
                  <c:v>0.68</c:v>
                </c:pt>
                <c:pt idx="182">
                  <c:v>0.74</c:v>
                </c:pt>
                <c:pt idx="183">
                  <c:v>0.53</c:v>
                </c:pt>
                <c:pt idx="184">
                  <c:v>0.83</c:v>
                </c:pt>
                <c:pt idx="185">
                  <c:v>0.68</c:v>
                </c:pt>
                <c:pt idx="186">
                  <c:v>0.82</c:v>
                </c:pt>
                <c:pt idx="187">
                  <c:v>0.73</c:v>
                </c:pt>
                <c:pt idx="188">
                  <c:v>0.68</c:v>
                </c:pt>
                <c:pt idx="189">
                  <c:v>0.31</c:v>
                </c:pt>
                <c:pt idx="190">
                  <c:v>0.87</c:v>
                </c:pt>
                <c:pt idx="191">
                  <c:v>0.83</c:v>
                </c:pt>
                <c:pt idx="192">
                  <c:v>0.83</c:v>
                </c:pt>
                <c:pt idx="193">
                  <c:v>0.68</c:v>
                </c:pt>
                <c:pt idx="194">
                  <c:v>0.72</c:v>
                </c:pt>
                <c:pt idx="195">
                  <c:v>0.67</c:v>
                </c:pt>
                <c:pt idx="196">
                  <c:v>0.72</c:v>
                </c:pt>
                <c:pt idx="197">
                  <c:v>0.7</c:v>
                </c:pt>
                <c:pt idx="198">
                  <c:v>0.74</c:v>
                </c:pt>
                <c:pt idx="199">
                  <c:v>0.73</c:v>
                </c:pt>
                <c:pt idx="200">
                  <c:v>0.36</c:v>
                </c:pt>
                <c:pt idx="201">
                  <c:v>0.64</c:v>
                </c:pt>
                <c:pt idx="202">
                  <c:v>0.65</c:v>
                </c:pt>
                <c:pt idx="203">
                  <c:v>0.75</c:v>
                </c:pt>
                <c:pt idx="204">
                  <c:v>0.61</c:v>
                </c:pt>
                <c:pt idx="205">
                  <c:v>0.67</c:v>
                </c:pt>
                <c:pt idx="206">
                  <c:v>0.78</c:v>
                </c:pt>
                <c:pt idx="207">
                  <c:v>0.44</c:v>
                </c:pt>
                <c:pt idx="208">
                  <c:v>0.91</c:v>
                </c:pt>
                <c:pt idx="209">
                  <c:v>0.73</c:v>
                </c:pt>
                <c:pt idx="210">
                  <c:v>0.63</c:v>
                </c:pt>
                <c:pt idx="211">
                  <c:v>0.37</c:v>
                </c:pt>
                <c:pt idx="212">
                  <c:v>0.79</c:v>
                </c:pt>
                <c:pt idx="213">
                  <c:v>0.83</c:v>
                </c:pt>
                <c:pt idx="214">
                  <c:v>0.71</c:v>
                </c:pt>
                <c:pt idx="215">
                  <c:v>0.72</c:v>
                </c:pt>
                <c:pt idx="216">
                  <c:v>0.74</c:v>
                </c:pt>
                <c:pt idx="217">
                  <c:v>0.74</c:v>
                </c:pt>
                <c:pt idx="218">
                  <c:v>0.75</c:v>
                </c:pt>
                <c:pt idx="219">
                  <c:v>0.83</c:v>
                </c:pt>
                <c:pt idx="220">
                  <c:v>0.72</c:v>
                </c:pt>
                <c:pt idx="221">
                  <c:v>0.69</c:v>
                </c:pt>
                <c:pt idx="222">
                  <c:v>0.28000000000000003</c:v>
                </c:pt>
                <c:pt idx="223">
                  <c:v>0.86</c:v>
                </c:pt>
                <c:pt idx="224">
                  <c:v>0.78</c:v>
                </c:pt>
                <c:pt idx="225">
                  <c:v>0.71</c:v>
                </c:pt>
                <c:pt idx="226">
                  <c:v>0.65</c:v>
                </c:pt>
                <c:pt idx="227">
                  <c:v>0.6</c:v>
                </c:pt>
                <c:pt idx="228">
                  <c:v>0.81</c:v>
                </c:pt>
                <c:pt idx="229">
                  <c:v>0.79</c:v>
                </c:pt>
                <c:pt idx="230">
                  <c:v>0.45</c:v>
                </c:pt>
                <c:pt idx="231">
                  <c:v>0.71</c:v>
                </c:pt>
                <c:pt idx="232">
                  <c:v>0.38</c:v>
                </c:pt>
                <c:pt idx="233">
                  <c:v>0.61</c:v>
                </c:pt>
                <c:pt idx="234">
                  <c:v>0.61</c:v>
                </c:pt>
                <c:pt idx="235">
                  <c:v>0.73</c:v>
                </c:pt>
                <c:pt idx="236">
                  <c:v>0.25</c:v>
                </c:pt>
                <c:pt idx="237">
                  <c:v>0.74</c:v>
                </c:pt>
                <c:pt idx="238">
                  <c:v>0.85</c:v>
                </c:pt>
                <c:pt idx="239">
                  <c:v>0.68</c:v>
                </c:pt>
                <c:pt idx="240">
                  <c:v>0.32</c:v>
                </c:pt>
                <c:pt idx="241">
                  <c:v>0.76</c:v>
                </c:pt>
                <c:pt idx="242">
                  <c:v>0.74</c:v>
                </c:pt>
                <c:pt idx="243">
                  <c:v>0.72</c:v>
                </c:pt>
                <c:pt idx="244">
                  <c:v>0.7</c:v>
                </c:pt>
                <c:pt idx="245">
                  <c:v>0.6</c:v>
                </c:pt>
                <c:pt idx="246">
                  <c:v>0.7</c:v>
                </c:pt>
                <c:pt idx="247">
                  <c:v>0.78</c:v>
                </c:pt>
                <c:pt idx="248">
                  <c:v>0.57999999999999996</c:v>
                </c:pt>
                <c:pt idx="249">
                  <c:v>0.8</c:v>
                </c:pt>
                <c:pt idx="250">
                  <c:v>0.71</c:v>
                </c:pt>
                <c:pt idx="251">
                  <c:v>0.72</c:v>
                </c:pt>
                <c:pt idx="252">
                  <c:v>0.68</c:v>
                </c:pt>
                <c:pt idx="253">
                  <c:v>0.61</c:v>
                </c:pt>
                <c:pt idx="254">
                  <c:v>0.68</c:v>
                </c:pt>
                <c:pt idx="255">
                  <c:v>0.78</c:v>
                </c:pt>
                <c:pt idx="256">
                  <c:v>0.73</c:v>
                </c:pt>
                <c:pt idx="257">
                  <c:v>0.73</c:v>
                </c:pt>
                <c:pt idx="258">
                  <c:v>0.78</c:v>
                </c:pt>
                <c:pt idx="259">
                  <c:v>0.44</c:v>
                </c:pt>
                <c:pt idx="260">
                  <c:v>0.42</c:v>
                </c:pt>
                <c:pt idx="261">
                  <c:v>0.69</c:v>
                </c:pt>
                <c:pt idx="262">
                  <c:v>0.56999999999999995</c:v>
                </c:pt>
                <c:pt idx="263">
                  <c:v>0.6</c:v>
                </c:pt>
                <c:pt idx="264">
                  <c:v>0.72</c:v>
                </c:pt>
                <c:pt idx="265">
                  <c:v>0.77</c:v>
                </c:pt>
                <c:pt idx="266">
                  <c:v>0.62</c:v>
                </c:pt>
                <c:pt idx="267">
                  <c:v>0.63</c:v>
                </c:pt>
                <c:pt idx="268">
                  <c:v>0.66</c:v>
                </c:pt>
                <c:pt idx="269">
                  <c:v>0.69</c:v>
                </c:pt>
                <c:pt idx="270">
                  <c:v>0.52</c:v>
                </c:pt>
                <c:pt idx="271">
                  <c:v>0.74</c:v>
                </c:pt>
                <c:pt idx="272">
                  <c:v>0.72</c:v>
                </c:pt>
                <c:pt idx="273">
                  <c:v>0.42</c:v>
                </c:pt>
                <c:pt idx="274">
                  <c:v>0.62</c:v>
                </c:pt>
                <c:pt idx="275">
                  <c:v>0.52</c:v>
                </c:pt>
                <c:pt idx="276">
                  <c:v>0.67</c:v>
                </c:pt>
                <c:pt idx="277">
                  <c:v>0.79</c:v>
                </c:pt>
                <c:pt idx="278">
                  <c:v>0.65</c:v>
                </c:pt>
                <c:pt idx="279">
                  <c:v>0.68</c:v>
                </c:pt>
                <c:pt idx="280">
                  <c:v>0.36</c:v>
                </c:pt>
                <c:pt idx="281">
                  <c:v>0.77</c:v>
                </c:pt>
                <c:pt idx="282">
                  <c:v>0.74</c:v>
                </c:pt>
                <c:pt idx="283">
                  <c:v>0.74</c:v>
                </c:pt>
                <c:pt idx="284">
                  <c:v>0.82</c:v>
                </c:pt>
                <c:pt idx="285">
                  <c:v>0.67</c:v>
                </c:pt>
                <c:pt idx="286">
                  <c:v>0.67</c:v>
                </c:pt>
                <c:pt idx="287">
                  <c:v>0.72</c:v>
                </c:pt>
                <c:pt idx="288">
                  <c:v>0.68</c:v>
                </c:pt>
                <c:pt idx="289">
                  <c:v>0.63</c:v>
                </c:pt>
                <c:pt idx="290">
                  <c:v>0.48</c:v>
                </c:pt>
                <c:pt idx="291">
                  <c:v>0.52</c:v>
                </c:pt>
                <c:pt idx="292">
                  <c:v>0.76</c:v>
                </c:pt>
                <c:pt idx="293">
                  <c:v>0.78</c:v>
                </c:pt>
                <c:pt idx="294">
                  <c:v>0.66</c:v>
                </c:pt>
                <c:pt idx="295">
                  <c:v>0.69</c:v>
                </c:pt>
                <c:pt idx="296">
                  <c:v>0.72</c:v>
                </c:pt>
                <c:pt idx="297">
                  <c:v>0.61</c:v>
                </c:pt>
                <c:pt idx="298">
                  <c:v>0.68</c:v>
                </c:pt>
                <c:pt idx="299">
                  <c:v>0.62</c:v>
                </c:pt>
                <c:pt idx="300">
                  <c:v>0.64</c:v>
                </c:pt>
                <c:pt idx="301">
                  <c:v>0.68</c:v>
                </c:pt>
                <c:pt idx="302">
                  <c:v>0.63</c:v>
                </c:pt>
                <c:pt idx="303">
                  <c:v>0.75</c:v>
                </c:pt>
                <c:pt idx="304">
                  <c:v>0.72</c:v>
                </c:pt>
                <c:pt idx="305">
                  <c:v>0.57999999999999996</c:v>
                </c:pt>
                <c:pt idx="306">
                  <c:v>0.66</c:v>
                </c:pt>
                <c:pt idx="307">
                  <c:v>0.5</c:v>
                </c:pt>
                <c:pt idx="308">
                  <c:v>0.82</c:v>
                </c:pt>
                <c:pt idx="309">
                  <c:v>0.75</c:v>
                </c:pt>
                <c:pt idx="310">
                  <c:v>0.75</c:v>
                </c:pt>
                <c:pt idx="311">
                  <c:v>0.85</c:v>
                </c:pt>
                <c:pt idx="312">
                  <c:v>0.7</c:v>
                </c:pt>
                <c:pt idx="313">
                  <c:v>0.79</c:v>
                </c:pt>
                <c:pt idx="314">
                  <c:v>0.8</c:v>
                </c:pt>
                <c:pt idx="315">
                  <c:v>0.73</c:v>
                </c:pt>
                <c:pt idx="316">
                  <c:v>0.79</c:v>
                </c:pt>
                <c:pt idx="317">
                  <c:v>0.72</c:v>
                </c:pt>
                <c:pt idx="318">
                  <c:v>0.76</c:v>
                </c:pt>
                <c:pt idx="319">
                  <c:v>0.65</c:v>
                </c:pt>
                <c:pt idx="320">
                  <c:v>0.23</c:v>
                </c:pt>
                <c:pt idx="321">
                  <c:v>0.78</c:v>
                </c:pt>
                <c:pt idx="322">
                  <c:v>0.51</c:v>
                </c:pt>
                <c:pt idx="323">
                  <c:v>0.78</c:v>
                </c:pt>
                <c:pt idx="324">
                  <c:v>0.77</c:v>
                </c:pt>
                <c:pt idx="325">
                  <c:v>0.78</c:v>
                </c:pt>
                <c:pt idx="326">
                  <c:v>0.42</c:v>
                </c:pt>
                <c:pt idx="327">
                  <c:v>0.43</c:v>
                </c:pt>
                <c:pt idx="328">
                  <c:v>0.52</c:v>
                </c:pt>
                <c:pt idx="329">
                  <c:v>0.79</c:v>
                </c:pt>
                <c:pt idx="330">
                  <c:v>0.76</c:v>
                </c:pt>
                <c:pt idx="331">
                  <c:v>0.42</c:v>
                </c:pt>
                <c:pt idx="332">
                  <c:v>0.59</c:v>
                </c:pt>
                <c:pt idx="333">
                  <c:v>0.71</c:v>
                </c:pt>
                <c:pt idx="334">
                  <c:v>0.37</c:v>
                </c:pt>
                <c:pt idx="335">
                  <c:v>0.63</c:v>
                </c:pt>
                <c:pt idx="336">
                  <c:v>0.73</c:v>
                </c:pt>
                <c:pt idx="337">
                  <c:v>0.68</c:v>
                </c:pt>
                <c:pt idx="338">
                  <c:v>0.75</c:v>
                </c:pt>
                <c:pt idx="339">
                  <c:v>0.55000000000000004</c:v>
                </c:pt>
                <c:pt idx="340">
                  <c:v>0.54</c:v>
                </c:pt>
                <c:pt idx="341">
                  <c:v>0.66</c:v>
                </c:pt>
                <c:pt idx="342">
                  <c:v>0.66</c:v>
                </c:pt>
                <c:pt idx="343">
                  <c:v>0.6</c:v>
                </c:pt>
                <c:pt idx="344">
                  <c:v>0.42</c:v>
                </c:pt>
                <c:pt idx="345">
                  <c:v>0.5</c:v>
                </c:pt>
                <c:pt idx="346">
                  <c:v>0.5</c:v>
                </c:pt>
                <c:pt idx="347">
                  <c:v>0.42</c:v>
                </c:pt>
                <c:pt idx="348">
                  <c:v>0.42</c:v>
                </c:pt>
                <c:pt idx="349">
                  <c:v>0.61</c:v>
                </c:pt>
                <c:pt idx="350">
                  <c:v>0.42</c:v>
                </c:pt>
              </c:numCache>
            </c:numRef>
          </c:yVal>
          <c:smooth val="0"/>
          <c:extLst>
            <c:ext xmlns:c16="http://schemas.microsoft.com/office/drawing/2014/chart" uri="{C3380CC4-5D6E-409C-BE32-E72D297353CC}">
              <c16:uniqueId val="{00000000-C9F4-453B-9A11-CED6C3814C48}"/>
            </c:ext>
          </c:extLst>
        </c:ser>
        <c:dLbls>
          <c:showLegendKey val="0"/>
          <c:showVal val="0"/>
          <c:showCatName val="0"/>
          <c:showSerName val="0"/>
          <c:showPercent val="0"/>
          <c:showBubbleSize val="0"/>
        </c:dLbls>
        <c:axId val="2031994847"/>
        <c:axId val="2031992927"/>
      </c:scatterChart>
      <c:valAx>
        <c:axId val="20319948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92927"/>
        <c:crosses val="autoZero"/>
        <c:crossBetween val="midCat"/>
      </c:valAx>
      <c:valAx>
        <c:axId val="20319929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948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[Online_plant_sales.xlsx]Life cycle !PivotTable12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a:t>
            </a:r>
            <a:r>
              <a:rPr lang="en-US" baseline="0"/>
              <a:t> CYCLE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'Life cycle '!$B$3</c:f>
              <c:strCache>
                <c:ptCount val="1"/>
                <c:pt idx="0">
                  <c:v>Total</c:v>
                </c:pt>
              </c:strCache>
            </c:strRef>
          </c:tx>
          <c:spPr>
            <a:solidFill>
              <a:schemeClr val="accent1"/>
            </a:solidFill>
            <a:ln>
              <a:noFill/>
            </a:ln>
            <a:effectLst/>
          </c:spPr>
          <c:invertIfNegative val="0"/>
          <c:cat>
            <c:strRef>
              <c:f>'Life cycle '!$A$4:$A$7</c:f>
              <c:strCache>
                <c:ptCount val="3"/>
                <c:pt idx="0">
                  <c:v>Annual</c:v>
                </c:pt>
                <c:pt idx="1">
                  <c:v>Biennial</c:v>
                </c:pt>
                <c:pt idx="2">
                  <c:v>Perennial</c:v>
                </c:pt>
              </c:strCache>
            </c:strRef>
          </c:cat>
          <c:val>
            <c:numRef>
              <c:f>'Life cycle '!$B$4:$B$7</c:f>
              <c:numCache>
                <c:formatCode>General</c:formatCode>
                <c:ptCount val="3"/>
                <c:pt idx="0">
                  <c:v>177</c:v>
                </c:pt>
                <c:pt idx="1">
                  <c:v>16</c:v>
                </c:pt>
                <c:pt idx="2">
                  <c:v>158</c:v>
                </c:pt>
              </c:numCache>
            </c:numRef>
          </c:val>
          <c:extLst>
            <c:ext xmlns:c16="http://schemas.microsoft.com/office/drawing/2014/chart" uri="{C3380CC4-5D6E-409C-BE32-E72D297353CC}">
              <c16:uniqueId val="{00000000-C082-4B5B-8531-737346C44143}"/>
            </c:ext>
          </c:extLst>
        </c:ser>
        <c:dLbls>
          <c:showLegendKey val="0"/>
          <c:showVal val="0"/>
          <c:showCatName val="0"/>
          <c:showSerName val="0"/>
          <c:showPercent val="0"/>
          <c:showBubbleSize val="0"/>
        </c:dLbls>
        <c:gapWidth val="219"/>
        <c:overlap val="-27"/>
        <c:axId val="2032033727"/>
        <c:axId val="2032041407"/>
      </c:barChart>
      <c:catAx>
        <c:axId val="203203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041407"/>
        <c:crosses val="autoZero"/>
        <c:auto val="1"/>
        <c:lblAlgn val="ctr"/>
        <c:lblOffset val="100"/>
        <c:noMultiLvlLbl val="0"/>
      </c:catAx>
      <c:valAx>
        <c:axId val="203204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03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[Online_plant_sales.xlsx]Plant size!PivotTable10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'Plant size'!$B$3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95-490B-B5BC-0CB642A791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95-490B-B5BC-0CB642A791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95-490B-B5BC-0CB642A791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'Plant size'!$A$4:$A$7</c:f>
              <c:strCache>
                <c:ptCount val="3"/>
                <c:pt idx="0">
                  <c:v>Large</c:v>
                </c:pt>
                <c:pt idx="1">
                  <c:v>Medium</c:v>
                </c:pt>
                <c:pt idx="2">
                  <c:v>Small</c:v>
                </c:pt>
              </c:strCache>
            </c:strRef>
          </c:cat>
          <c:val>
            <c:numRef>
              <c:f>'Plant size'!$B$4:$B$7</c:f>
              <c:numCache>
                <c:formatCode>General</c:formatCode>
                <c:ptCount val="3"/>
                <c:pt idx="0">
                  <c:v>1</c:v>
                </c:pt>
                <c:pt idx="1">
                  <c:v>91</c:v>
                </c:pt>
                <c:pt idx="2">
                  <c:v>259</c:v>
                </c:pt>
              </c:numCache>
            </c:numRef>
          </c:val>
          <c:extLst>
            <c:ext xmlns:c16="http://schemas.microsoft.com/office/drawing/2014/chart" uri="{C3380CC4-5D6E-409C-BE32-E72D297353CC}">
              <c16:uniqueId val="{00000000-79D7-47D4-8FE5-95ED6A82126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[Online_plant_sales.xlsx]Type and count!PivotTable11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'Type and count'!$B$3</c:f>
              <c:strCache>
                <c:ptCount val="1"/>
                <c:pt idx="0">
                  <c:v>Total</c:v>
                </c:pt>
              </c:strCache>
            </c:strRef>
          </c:tx>
          <c:spPr>
            <a:solidFill>
              <a:schemeClr val="accent1"/>
            </a:solidFill>
            <a:ln>
              <a:noFill/>
            </a:ln>
            <a:effectLst/>
          </c:spPr>
          <c:invertIfNegative val="0"/>
          <c:cat>
            <c:strRef>
              <c:f>'Type and count'!$A$4:$A$16</c:f>
              <c:strCache>
                <c:ptCount val="12"/>
                <c:pt idx="0">
                  <c:v>Air purifier plant</c:v>
                </c:pt>
                <c:pt idx="1">
                  <c:v>Bamboo</c:v>
                </c:pt>
                <c:pt idx="2">
                  <c:v>Bonsai</c:v>
                </c:pt>
                <c:pt idx="3">
                  <c:v>Creepers and Climbers</c:v>
                </c:pt>
                <c:pt idx="4">
                  <c:v>Flower</c:v>
                </c:pt>
                <c:pt idx="5">
                  <c:v>Foliage</c:v>
                </c:pt>
                <c:pt idx="6">
                  <c:v>Fruit</c:v>
                </c:pt>
                <c:pt idx="7">
                  <c:v>Herb</c:v>
                </c:pt>
                <c:pt idx="8">
                  <c:v>Shrub</c:v>
                </c:pt>
                <c:pt idx="9">
                  <c:v>Succulent</c:v>
                </c:pt>
                <c:pt idx="10">
                  <c:v>Tree</c:v>
                </c:pt>
                <c:pt idx="11">
                  <c:v>Vegetable</c:v>
                </c:pt>
              </c:strCache>
            </c:strRef>
          </c:cat>
          <c:val>
            <c:numRef>
              <c:f>'Type and count'!$B$4:$B$16</c:f>
              <c:numCache>
                <c:formatCode>General</c:formatCode>
                <c:ptCount val="12"/>
                <c:pt idx="0">
                  <c:v>10</c:v>
                </c:pt>
                <c:pt idx="1">
                  <c:v>20</c:v>
                </c:pt>
                <c:pt idx="2">
                  <c:v>19</c:v>
                </c:pt>
                <c:pt idx="3">
                  <c:v>1</c:v>
                </c:pt>
                <c:pt idx="4">
                  <c:v>80</c:v>
                </c:pt>
                <c:pt idx="5">
                  <c:v>23</c:v>
                </c:pt>
                <c:pt idx="6">
                  <c:v>103</c:v>
                </c:pt>
                <c:pt idx="7">
                  <c:v>45</c:v>
                </c:pt>
                <c:pt idx="8">
                  <c:v>16</c:v>
                </c:pt>
                <c:pt idx="9">
                  <c:v>23</c:v>
                </c:pt>
                <c:pt idx="10">
                  <c:v>10</c:v>
                </c:pt>
                <c:pt idx="11">
                  <c:v>1</c:v>
                </c:pt>
              </c:numCache>
            </c:numRef>
          </c:val>
          <c:extLst>
            <c:ext xmlns:c16="http://schemas.microsoft.com/office/drawing/2014/chart" uri="{C3380CC4-5D6E-409C-BE32-E72D297353CC}">
              <c16:uniqueId val="{00000000-F45D-4593-A601-61F7801B4ADD}"/>
            </c:ext>
          </c:extLst>
        </c:ser>
        <c:dLbls>
          <c:showLegendKey val="0"/>
          <c:showVal val="0"/>
          <c:showCatName val="0"/>
          <c:showSerName val="0"/>
          <c:showPercent val="0"/>
          <c:showBubbleSize val="0"/>
        </c:dLbls>
        <c:gapWidth val="219"/>
        <c:overlap val="-27"/>
        <c:axId val="144922847"/>
        <c:axId val="144917087"/>
      </c:barChart>
      <c:catAx>
        <c:axId val="14492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17087"/>
        <c:crosses val="autoZero"/>
        <c:auto val="1"/>
        <c:lblAlgn val="ctr"/>
        <c:lblOffset val="100"/>
        <c:noMultiLvlLbl val="0"/>
      </c:catAx>
      <c:valAx>
        <c:axId val="14491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2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[Online_plant_sales.xlsx]Plant size!PivotTable10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rgbClr val="00B050"/>
          </a:solidFill>
          <a:ln w="19050">
            <a:solidFill>
              <a:schemeClr val="lt1"/>
            </a:solidFill>
          </a:ln>
          <a:effectLst/>
        </c:spPr>
      </c:pivotFmt>
      <c:pivotFmt>
        <c:idx val="11"/>
        <c:spPr>
          <a:solidFill>
            <a:srgbClr val="92D050"/>
          </a:solidFill>
          <a:ln w="19050">
            <a:solidFill>
              <a:schemeClr val="lt1"/>
            </a:solidFill>
          </a:ln>
          <a:effectLst/>
        </c:spPr>
      </c:pivotFmt>
    </c:pivotFmts>
    <c:plotArea>
      <c:layout/>
      <c:pieChart>
        <c:varyColors val="1"/>
        <c:ser>
          <c:idx val="0"/>
          <c:order val="0"/>
          <c:tx>
            <c:strRef>
              <c:f>'Plant size'!$B$3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24-4827-9CF1-D73C69D13C28}"/>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0324-4827-9CF1-D73C69D13C28}"/>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0324-4827-9CF1-D73C69D13C28}"/>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'Plant size'!$A$4:$A$7</c:f>
              <c:strCache>
                <c:ptCount val="3"/>
                <c:pt idx="0">
                  <c:v>Large</c:v>
                </c:pt>
                <c:pt idx="1">
                  <c:v>Medium</c:v>
                </c:pt>
                <c:pt idx="2">
                  <c:v>Small</c:v>
                </c:pt>
              </c:strCache>
            </c:strRef>
          </c:cat>
          <c:val>
            <c:numRef>
              <c:f>'Plant size'!$B$4:$B$7</c:f>
              <c:numCache>
                <c:formatCode>General</c:formatCode>
                <c:ptCount val="3"/>
                <c:pt idx="0">
                  <c:v>1</c:v>
                </c:pt>
                <c:pt idx="1">
                  <c:v>91</c:v>
                </c:pt>
                <c:pt idx="2">
                  <c:v>259</c:v>
                </c:pt>
              </c:numCache>
            </c:numRef>
          </c:val>
          <c:extLst>
            <c:ext xmlns:c16="http://schemas.microsoft.com/office/drawing/2014/chart" uri="{C3380CC4-5D6E-409C-BE32-E72D297353CC}">
              <c16:uniqueId val="{00000006-0324-4827-9CF1-D73C69D13C2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[Online_plant_sales.xlsx]Life cycle !PivotTable12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'Life cycle '!$B$3</c:f>
              <c:strCache>
                <c:ptCount val="1"/>
                <c:pt idx="0">
                  <c:v>Total</c:v>
                </c:pt>
              </c:strCache>
            </c:strRef>
          </c:tx>
          <c:spPr>
            <a:solidFill>
              <a:srgbClr val="92D050"/>
            </a:solidFill>
            <a:ln>
              <a:noFill/>
            </a:ln>
            <a:effectLst/>
          </c:spPr>
          <c:invertIfNegative val="0"/>
          <c:cat>
            <c:strRef>
              <c:f>'Life cycle '!$A$4:$A$7</c:f>
              <c:strCache>
                <c:ptCount val="3"/>
                <c:pt idx="0">
                  <c:v>Annual</c:v>
                </c:pt>
                <c:pt idx="1">
                  <c:v>Biennial</c:v>
                </c:pt>
                <c:pt idx="2">
                  <c:v>Perennial</c:v>
                </c:pt>
              </c:strCache>
            </c:strRef>
          </c:cat>
          <c:val>
            <c:numRef>
              <c:f>'Life cycle '!$B$4:$B$7</c:f>
              <c:numCache>
                <c:formatCode>General</c:formatCode>
                <c:ptCount val="3"/>
                <c:pt idx="0">
                  <c:v>177</c:v>
                </c:pt>
                <c:pt idx="1">
                  <c:v>16</c:v>
                </c:pt>
                <c:pt idx="2">
                  <c:v>158</c:v>
                </c:pt>
              </c:numCache>
            </c:numRef>
          </c:val>
          <c:extLst>
            <c:ext xmlns:c16="http://schemas.microsoft.com/office/drawing/2014/chart" uri="{C3380CC4-5D6E-409C-BE32-E72D297353CC}">
              <c16:uniqueId val="{00000000-C90D-4A81-ACA8-C79BCBCE8CF3}"/>
            </c:ext>
          </c:extLst>
        </c:ser>
        <c:dLbls>
          <c:showLegendKey val="0"/>
          <c:showVal val="0"/>
          <c:showCatName val="0"/>
          <c:showSerName val="0"/>
          <c:showPercent val="0"/>
          <c:showBubbleSize val="0"/>
        </c:dLbls>
        <c:gapWidth val="219"/>
        <c:overlap val="-27"/>
        <c:axId val="2032033727"/>
        <c:axId val="2032041407"/>
      </c:barChart>
      <c:catAx>
        <c:axId val="203203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041407"/>
        <c:crosses val="autoZero"/>
        <c:auto val="1"/>
        <c:lblAlgn val="ctr"/>
        <c:lblOffset val="100"/>
        <c:noMultiLvlLbl val="0"/>
      </c:catAx>
      <c:valAx>
        <c:axId val="203204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3203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[Online_plant_sales.xlsx]TOP 5!PivotTable7</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5'!$B$3</c:f>
              <c:strCache>
                <c:ptCount val="1"/>
                <c:pt idx="0">
                  <c:v>Total</c:v>
                </c:pt>
              </c:strCache>
            </c:strRef>
          </c:tx>
          <c:spPr>
            <a:solidFill>
              <a:srgbClr val="92D050"/>
            </a:solidFill>
            <a:ln>
              <a:noFill/>
            </a:ln>
            <a:effectLst/>
            <a:sp3d/>
          </c:spPr>
          <c:invertIfNegative val="0"/>
          <c:cat>
            <c:strRef>
              <c:f>'TOP 5'!$A$4:$A$10</c:f>
              <c:strCache>
                <c:ptCount val="6"/>
                <c:pt idx="0">
                  <c:v>greenhousestore</c:v>
                </c:pt>
                <c:pt idx="1">
                  <c:v>Cloud Farm</c:v>
                </c:pt>
                <c:pt idx="2">
                  <c:v>UGAOO</c:v>
                </c:pt>
                <c:pt idx="3">
                  <c:v>AloGardening</c:v>
                </c:pt>
                <c:pt idx="4">
                  <c:v>LaughEarth</c:v>
                </c:pt>
                <c:pt idx="5">
                  <c:v>AquinnahGaden</c:v>
                </c:pt>
              </c:strCache>
            </c:strRef>
          </c:cat>
          <c:val>
            <c:numRef>
              <c:f>'TOP 5'!$B$4:$B$10</c:f>
              <c:numCache>
                <c:formatCode>General</c:formatCode>
                <c:ptCount val="6"/>
                <c:pt idx="0">
                  <c:v>53</c:v>
                </c:pt>
                <c:pt idx="1">
                  <c:v>26</c:v>
                </c:pt>
                <c:pt idx="2">
                  <c:v>14</c:v>
                </c:pt>
                <c:pt idx="3">
                  <c:v>14</c:v>
                </c:pt>
                <c:pt idx="4">
                  <c:v>9</c:v>
                </c:pt>
                <c:pt idx="5">
                  <c:v>9</c:v>
                </c:pt>
              </c:numCache>
            </c:numRef>
          </c:val>
          <c:extLst>
            <c:ext xmlns:c16="http://schemas.microsoft.com/office/drawing/2014/chart" uri="{C3380CC4-5D6E-409C-BE32-E72D297353CC}">
              <c16:uniqueId val="{00000000-AB7C-4BB9-9018-788E5C38B4D4}"/>
            </c:ext>
          </c:extLst>
        </c:ser>
        <c:dLbls>
          <c:showLegendKey val="0"/>
          <c:showVal val="0"/>
          <c:showCatName val="0"/>
          <c:showSerName val="0"/>
          <c:showPercent val="0"/>
          <c:showBubbleSize val="0"/>
        </c:dLbls>
        <c:gapWidth val="150"/>
        <c:shape val="box"/>
        <c:axId val="790417423"/>
        <c:axId val="790419343"/>
        <c:axId val="0"/>
      </c:bar3DChart>
      <c:catAx>
        <c:axId val="790417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19343"/>
        <c:crosses val="autoZero"/>
        <c:auto val="1"/>
        <c:lblAlgn val="ctr"/>
        <c:lblOffset val="100"/>
        <c:noMultiLvlLbl val="0"/>
      </c:catAx>
      <c:valAx>
        <c:axId val="79041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9041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[Online_plant_sales.xlsx]Total_count!PivotTable1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050"/>
          </a:solidFill>
          <a:ln w="19050">
            <a:solidFill>
              <a:schemeClr val="lt1"/>
            </a:solidFill>
          </a:ln>
          <a:effectLst/>
        </c:spPr>
      </c:pivotFmt>
      <c:pivotFmt>
        <c:idx val="6"/>
        <c:spPr>
          <a:solidFill>
            <a:srgbClr val="92D050"/>
          </a:solidFill>
          <a:ln w="19050">
            <a:solidFill>
              <a:schemeClr val="lt1"/>
            </a:solidFill>
          </a:ln>
          <a:effectLst/>
        </c:spPr>
      </c:pivotFmt>
    </c:pivotFmts>
    <c:plotArea>
      <c:layout/>
      <c:pieChart>
        <c:varyColors val="1"/>
        <c:ser>
          <c:idx val="0"/>
          <c:order val="0"/>
          <c:tx>
            <c:strRef>
              <c:f>Total_count!$B$3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0AF7-465E-9DE1-E949DBA29FC2}"/>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0AF7-465E-9DE1-E949DBA29FC2}"/>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Total_count!$A$4:$A$6</c:f>
              <c:strCache>
                <c:ptCount val="2"/>
                <c:pt idx="0">
                  <c:v>No</c:v>
                </c:pt>
                <c:pt idx="1">
                  <c:v>Yes</c:v>
                </c:pt>
              </c:strCache>
            </c:strRef>
          </c:cat>
          <c:val>
            <c:numRef>
              <c:f>Total_count!$B$4:$B$6</c:f>
              <c:numCache>
                <c:formatCode>General</c:formatCode>
                <c:ptCount val="2"/>
                <c:pt idx="0">
                  <c:v>155</c:v>
                </c:pt>
                <c:pt idx="1">
                  <c:v>196</c:v>
                </c:pt>
              </c:numCache>
            </c:numRef>
          </c:val>
          <c:extLst>
            <c:ext xmlns:c16="http://schemas.microsoft.com/office/drawing/2014/chart" uri="{C3380CC4-5D6E-409C-BE32-E72D297353CC}">
              <c16:uniqueId val="{00000004-0AF7-465E-9DE1-E949DBA29F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[Online_plant_sales.xlsx]Returns_count!PivotTable1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92D050"/>
          </a:solidFill>
          <a:ln w="19050">
            <a:solidFill>
              <a:schemeClr val="lt1"/>
            </a:solidFill>
          </a:ln>
          <a:effectLst/>
        </c:spPr>
      </c:pivotFmt>
    </c:pivotFmts>
    <c:plotArea>
      <c:layout/>
      <c:pieChart>
        <c:varyColors val="1"/>
        <c:ser>
          <c:idx val="0"/>
          <c:order val="0"/>
          <c:tx>
            <c:strRef>
              <c:f>Returns_count!$B$3</c:f>
              <c:strCache>
                <c:ptCount val="1"/>
                <c:pt idx="0">
                  <c:v>Total</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F513-4DE0-AC4D-58257C4CF34D}"/>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Returns_count!$A$4:$A$5</c:f>
              <c:strCache>
                <c:ptCount val="1"/>
                <c:pt idx="0">
                  <c:v>No Returns Allowed?</c:v>
                </c:pt>
              </c:strCache>
            </c:strRef>
          </c:cat>
          <c:val>
            <c:numRef>
              <c:f>Returns_count!$B$4:$B$5</c:f>
              <c:numCache>
                <c:formatCode>General</c:formatCode>
                <c:ptCount val="1"/>
                <c:pt idx="0">
                  <c:v>351</c:v>
                </c:pt>
              </c:numCache>
            </c:numRef>
          </c:val>
          <c:extLst>
            <c:ext xmlns:c16="http://schemas.microsoft.com/office/drawing/2014/chart" uri="{C3380CC4-5D6E-409C-BE32-E72D297353CC}">
              <c16:uniqueId val="{00000002-F513-4DE0-AC4D-58257C4CF34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plotArea>
      <cx:plotAreaRegion>
        <cx:series layoutId="boxWhisker" uniqueId="{04AB573F-FAA9-472E-B435-8ED020424C6F}">
          <cx:tx>
            <cx:txData>
              <cx:f>_xlchart.v1.1</cx:f>
              <cx:v>special price</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D3CB0642-7E7A-4DCD-9D40-542559FB8473}">
          <cx:dataLabels>
            <cx:visibility seriesName="0" categoryName="0" value="1"/>
          </cx:dataLabels>
          <cx:dataId val="0"/>
          <cx:layoutPr>
            <cx:binning intervalClosed="r" underflow="150" overflow="400">
              <cx:binCount val="10"/>
            </cx:binning>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boxWhisker" uniqueId="{74263B74-9A21-4280-B63F-93DFFFD3F50A}">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plotArea>
      <cx:plotAreaRegion>
        <cx:series layoutId="clusteredColumn" uniqueId="{7BB700C9-2FFF-4B24-8F52-5BA057975842}">
          <cx:tx>
            <cx:txData>
              <cx:f>_xlchart.v1.4</cx:f>
              <cx:v>original price</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156210</xdr:colOff>
      <xdr:row>377</xdr:row>
      <xdr:rowOff>0</xdr:rowOff>
    </xdr:from>
    <xdr:to>
      <xdr:col>12</xdr:col>
      <xdr:colOff>34290</xdr:colOff>
      <xdr:row>395</xdr:row>
      <xdr:rowOff>110490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065390D-0CB6-8698-2FEF-169335CCC6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09010" y="74691240"/>
              <a:ext cx="4572000" cy="3676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451338</xdr:colOff>
      <xdr:row>2</xdr:row>
      <xdr:rowOff>131884</xdr:rowOff>
    </xdr:from>
    <xdr:to>
      <xdr:col>11</xdr:col>
      <xdr:colOff>345831</xdr:colOff>
      <xdr:row>16</xdr:row>
      <xdr:rowOff>84992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C86486F-59A6-28E8-E948-7EF99DF5CE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133578" y="528124"/>
              <a:ext cx="4588413" cy="27267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2</xdr:row>
      <xdr:rowOff>0</xdr:rowOff>
    </xdr:from>
    <xdr:to>
      <xdr:col>16</xdr:col>
      <xdr:colOff>48505</xdr:colOff>
      <xdr:row>22</xdr:row>
      <xdr:rowOff>144610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A0481C0-B8C5-4C6C-BFF7-D47969E09A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72760" y="390446"/>
              <a:ext cx="6056340" cy="40490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392430</xdr:colOff>
      <xdr:row>5</xdr:row>
      <xdr:rowOff>140970</xdr:rowOff>
    </xdr:from>
    <xdr:to>
      <xdr:col>8</xdr:col>
      <xdr:colOff>396240</xdr:colOff>
      <xdr:row>15</xdr:row>
      <xdr:rowOff>160020</xdr:rowOff>
    </xdr:to>
    <xdr:graphicFrame macro="">
      <xdr:nvGraphicFramePr>
        <xdr:cNvPr id="3" name="Chart 2">
          <a:extLst>
            <a:ext uri="{FF2B5EF4-FFF2-40B4-BE49-F238E27FC236}">
              <a16:creationId xmlns:a16="http://schemas.microsoft.com/office/drawing/2014/main" id="{7A2886F7-8592-5013-C725-917286BDD8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483870</xdr:colOff>
      <xdr:row>5</xdr:row>
      <xdr:rowOff>140970</xdr:rowOff>
    </xdr:from>
    <xdr:to>
      <xdr:col>10</xdr:col>
      <xdr:colOff>361950</xdr:colOff>
      <xdr:row>19</xdr:row>
      <xdr:rowOff>110490</xdr:rowOff>
    </xdr:to>
    <xdr:graphicFrame macro="">
      <xdr:nvGraphicFramePr>
        <xdr:cNvPr id="2" name="Chart 1">
          <a:extLst>
            <a:ext uri="{FF2B5EF4-FFF2-40B4-BE49-F238E27FC236}">
              <a16:creationId xmlns:a16="http://schemas.microsoft.com/office/drawing/2014/main" id="{17AB9057-63EA-233C-904A-1E9F121B7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491490</xdr:colOff>
      <xdr:row>2</xdr:row>
      <xdr:rowOff>26670</xdr:rowOff>
    </xdr:from>
    <xdr:to>
      <xdr:col>9</xdr:col>
      <xdr:colOff>369570</xdr:colOff>
      <xdr:row>15</xdr:row>
      <xdr:rowOff>194310</xdr:rowOff>
    </xdr:to>
    <xdr:graphicFrame macro="">
      <xdr:nvGraphicFramePr>
        <xdr:cNvPr id="2" name="Chart 1">
          <a:extLst>
            <a:ext uri="{FF2B5EF4-FFF2-40B4-BE49-F238E27FC236}">
              <a16:creationId xmlns:a16="http://schemas.microsoft.com/office/drawing/2014/main" id="{635B19DD-83AB-C384-D79E-098B1C856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575310</xdr:colOff>
      <xdr:row>2</xdr:row>
      <xdr:rowOff>11430</xdr:rowOff>
    </xdr:from>
    <xdr:to>
      <xdr:col>9</xdr:col>
      <xdr:colOff>453390</xdr:colOff>
      <xdr:row>15</xdr:row>
      <xdr:rowOff>179070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C6721C1-11EE-685C-1779-A1017325FB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16430" y="4076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7</xdr:col>
      <xdr:colOff>95250</xdr:colOff>
      <xdr:row>5</xdr:row>
      <xdr:rowOff>140970</xdr:rowOff>
    </xdr:from>
    <xdr:to>
      <xdr:col>13</xdr:col>
      <xdr:colOff>643890</xdr:colOff>
      <xdr:row>19</xdr:row>
      <xdr:rowOff>110490</xdr:rowOff>
    </xdr:to>
    <xdr:graphicFrame macro="">
      <xdr:nvGraphicFramePr>
        <xdr:cNvPr id="2" name="Chart 1">
          <a:extLst>
            <a:ext uri="{FF2B5EF4-FFF2-40B4-BE49-F238E27FC236}">
              <a16:creationId xmlns:a16="http://schemas.microsoft.com/office/drawing/2014/main" id="{1847140B-566B-D5E1-24F7-784437D84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483870</xdr:colOff>
      <xdr:row>5</xdr:row>
      <xdr:rowOff>140970</xdr:rowOff>
    </xdr:from>
    <xdr:to>
      <xdr:col>10</xdr:col>
      <xdr:colOff>361950</xdr:colOff>
      <xdr:row>19</xdr:row>
      <xdr:rowOff>110490</xdr:rowOff>
    </xdr:to>
    <xdr:graphicFrame macro="">
      <xdr:nvGraphicFramePr>
        <xdr:cNvPr id="2" name="Chart 1">
          <a:extLst>
            <a:ext uri="{FF2B5EF4-FFF2-40B4-BE49-F238E27FC236}">
              <a16:creationId xmlns:a16="http://schemas.microsoft.com/office/drawing/2014/main" id="{F64A59CB-A1C1-64F1-8AA7-BACFE6DE2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316230</xdr:colOff>
      <xdr:row>5</xdr:row>
      <xdr:rowOff>140970</xdr:rowOff>
    </xdr:from>
    <xdr:to>
      <xdr:col>9</xdr:col>
      <xdr:colOff>194310</xdr:colOff>
      <xdr:row>19</xdr:row>
      <xdr:rowOff>110490</xdr:rowOff>
    </xdr:to>
    <xdr:graphicFrame macro="">
      <xdr:nvGraphicFramePr>
        <xdr:cNvPr id="2" name="Chart 1">
          <a:extLst>
            <a:ext uri="{FF2B5EF4-FFF2-40B4-BE49-F238E27FC236}">
              <a16:creationId xmlns:a16="http://schemas.microsoft.com/office/drawing/2014/main" id="{6A2D5781-EEB1-CCA8-B5D5-1339CB1FD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567690</xdr:colOff>
      <xdr:row>5</xdr:row>
      <xdr:rowOff>140970</xdr:rowOff>
    </xdr:from>
    <xdr:to>
      <xdr:col>9</xdr:col>
      <xdr:colOff>445770</xdr:colOff>
      <xdr:row>19</xdr:row>
      <xdr:rowOff>110490</xdr:rowOff>
    </xdr:to>
    <xdr:graphicFrame macro="">
      <xdr:nvGraphicFramePr>
        <xdr:cNvPr id="2" name="Chart 1">
          <a:extLst>
            <a:ext uri="{FF2B5EF4-FFF2-40B4-BE49-F238E27FC236}">
              <a16:creationId xmlns:a16="http://schemas.microsoft.com/office/drawing/2014/main" id="{2337FDBB-2756-6E11-7951-45EE11AFF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205740</xdr:colOff>
      <xdr:row>2</xdr:row>
      <xdr:rowOff>7620</xdr:rowOff>
    </xdr:from>
    <xdr:to>
      <xdr:col>8</xdr:col>
      <xdr:colOff>22860</xdr:colOff>
      <xdr:row>22</xdr:row>
      <xdr:rowOff>137160</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id="{1C9B2F6C-C72C-2290-7472-C2C696FEEE57}"/>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6362700" y="403860"/>
              <a:ext cx="1828800" cy="4091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68579</xdr:colOff>
      <xdr:row>0</xdr:row>
      <xdr:rowOff>76200</xdr:rowOff>
    </xdr:from>
    <xdr:to>
      <xdr:col>27</xdr:col>
      <xdr:colOff>217713</xdr:colOff>
      <xdr:row>4</xdr:row>
      <xdr:rowOff>190500</xdr:rowOff>
    </xdr:to>
    <xdr:sp macro="" textlink="">
      <xdr:nvSpPr>
        <xdr:cNvPr id="2" name="Rectangle: Rounded Corners 1">
          <a:extLst>
            <a:ext uri="{FF2B5EF4-FFF2-40B4-BE49-F238E27FC236}">
              <a16:creationId xmlns:a16="http://schemas.microsoft.com/office/drawing/2014/main" id="{69FB8DCB-72C2-4C16-ABAE-74612B51F93E}"/>
            </a:ext>
          </a:extLst>
        </xdr:cNvPr>
        <xdr:cNvSpPr/>
      </xdr:nvSpPr>
      <xdr:spPr>
        <a:xfrm>
          <a:off x="68579" y="76200"/>
          <a:ext cx="18110563" cy="88839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tx1"/>
              </a:solidFill>
              <a:latin typeface="Arial Rounded MT Bold" panose="020F0704030504030204" pitchFamily="34" charset="0"/>
            </a:rPr>
            <a:t>ONLINE BUSINESS</a:t>
          </a:r>
        </a:p>
      </xdr:txBody>
    </xdr:sp>
    <xdr:clientData/>
  </xdr:twoCellAnchor>
  <xdr:twoCellAnchor>
    <xdr:from>
      <xdr:col>0</xdr:col>
      <xdr:colOff>122672</xdr:colOff>
      <xdr:row>6</xdr:row>
      <xdr:rowOff>24190</xdr:rowOff>
    </xdr:from>
    <xdr:to>
      <xdr:col>5</xdr:col>
      <xdr:colOff>326572</xdr:colOff>
      <xdr:row>16</xdr:row>
      <xdr:rowOff>62459</xdr:rowOff>
    </xdr:to>
    <xdr:grpSp>
      <xdr:nvGrpSpPr>
        <xdr:cNvPr id="6" name="Group 5">
          <a:extLst>
            <a:ext uri="{FF2B5EF4-FFF2-40B4-BE49-F238E27FC236}">
              <a16:creationId xmlns:a16="http://schemas.microsoft.com/office/drawing/2014/main" id="{B6381D54-232A-567C-2D30-8DCBB67C6A18}"/>
            </a:ext>
          </a:extLst>
        </xdr:cNvPr>
        <xdr:cNvGrpSpPr/>
      </xdr:nvGrpSpPr>
      <xdr:grpSpPr>
        <a:xfrm>
          <a:off x="122672" y="1223403"/>
          <a:ext cx="3576687" cy="2036958"/>
          <a:chOff x="137160" y="739140"/>
          <a:chExt cx="3093720" cy="1463040"/>
        </a:xfrm>
      </xdr:grpSpPr>
      <xdr:sp macro="" textlink="">
        <xdr:nvSpPr>
          <xdr:cNvPr id="3" name="Rectangle: Rounded Corners 2">
            <a:extLst>
              <a:ext uri="{FF2B5EF4-FFF2-40B4-BE49-F238E27FC236}">
                <a16:creationId xmlns:a16="http://schemas.microsoft.com/office/drawing/2014/main" id="{5CA0E445-FB91-6C6D-8678-B58D494AFE8E}"/>
              </a:ext>
            </a:extLst>
          </xdr:cNvPr>
          <xdr:cNvSpPr/>
        </xdr:nvSpPr>
        <xdr:spPr>
          <a:xfrm>
            <a:off x="137160" y="739140"/>
            <a:ext cx="3093720" cy="146304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6091334F-8890-087E-B13E-68D1166D865A}"/>
              </a:ext>
            </a:extLst>
          </xdr:cNvPr>
          <xdr:cNvSpPr/>
        </xdr:nvSpPr>
        <xdr:spPr>
          <a:xfrm>
            <a:off x="243840" y="861060"/>
            <a:ext cx="2842260" cy="55626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rPr>
              <a:t>PLANT COUNT</a:t>
            </a:r>
          </a:p>
        </xdr:txBody>
      </xdr:sp>
      <xdr:sp macro="" textlink="Sheet4!B18">
        <xdr:nvSpPr>
          <xdr:cNvPr id="5" name="Rectangle: Rounded Corners 4">
            <a:extLst>
              <a:ext uri="{FF2B5EF4-FFF2-40B4-BE49-F238E27FC236}">
                <a16:creationId xmlns:a16="http://schemas.microsoft.com/office/drawing/2014/main" id="{A6B73F14-916E-453A-8307-002CEB2EFB9F}"/>
              </a:ext>
            </a:extLst>
          </xdr:cNvPr>
          <xdr:cNvSpPr/>
        </xdr:nvSpPr>
        <xdr:spPr>
          <a:xfrm>
            <a:off x="243840" y="1508760"/>
            <a:ext cx="2842260" cy="55626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25CA31-B20A-4FB8-AA04-C22F464CF396}" type="TxLink">
              <a:rPr lang="en-US" sz="2800" b="1" i="0" u="none" strike="noStrike">
                <a:solidFill>
                  <a:srgbClr val="000000"/>
                </a:solidFill>
                <a:latin typeface="Calibri"/>
                <a:ea typeface="Calibri"/>
                <a:cs typeface="Calibri"/>
              </a:rPr>
              <a:pPr algn="ctr"/>
              <a:t>351</a:t>
            </a:fld>
            <a:endParaRPr lang="en-IN" sz="2800">
              <a:solidFill>
                <a:schemeClr val="bg2">
                  <a:lumMod val="10000"/>
                </a:schemeClr>
              </a:solidFill>
            </a:endParaRPr>
          </a:p>
        </xdr:txBody>
      </xdr:sp>
    </xdr:grpSp>
    <xdr:clientData/>
  </xdr:twoCellAnchor>
  <xdr:twoCellAnchor>
    <xdr:from>
      <xdr:col>0</xdr:col>
      <xdr:colOff>88146</xdr:colOff>
      <xdr:row>17</xdr:row>
      <xdr:rowOff>72571</xdr:rowOff>
    </xdr:from>
    <xdr:to>
      <xdr:col>5</xdr:col>
      <xdr:colOff>326572</xdr:colOff>
      <xdr:row>27</xdr:row>
      <xdr:rowOff>84666</xdr:rowOff>
    </xdr:to>
    <xdr:grpSp>
      <xdr:nvGrpSpPr>
        <xdr:cNvPr id="11" name="Group 10">
          <a:extLst>
            <a:ext uri="{FF2B5EF4-FFF2-40B4-BE49-F238E27FC236}">
              <a16:creationId xmlns:a16="http://schemas.microsoft.com/office/drawing/2014/main" id="{739FFA18-122A-49F1-AE53-CAACA4286B9B}"/>
            </a:ext>
          </a:extLst>
        </xdr:cNvPr>
        <xdr:cNvGrpSpPr/>
      </xdr:nvGrpSpPr>
      <xdr:grpSpPr>
        <a:xfrm>
          <a:off x="88146" y="3470341"/>
          <a:ext cx="3611213" cy="2010784"/>
          <a:chOff x="137160" y="739140"/>
          <a:chExt cx="3093720" cy="1463040"/>
        </a:xfrm>
      </xdr:grpSpPr>
      <xdr:sp macro="" textlink="">
        <xdr:nvSpPr>
          <xdr:cNvPr id="12" name="Rectangle: Rounded Corners 11">
            <a:extLst>
              <a:ext uri="{FF2B5EF4-FFF2-40B4-BE49-F238E27FC236}">
                <a16:creationId xmlns:a16="http://schemas.microsoft.com/office/drawing/2014/main" id="{2F9FA2F5-961C-69D1-B9E7-0C1D88CDAA30}"/>
              </a:ext>
            </a:extLst>
          </xdr:cNvPr>
          <xdr:cNvSpPr/>
        </xdr:nvSpPr>
        <xdr:spPr>
          <a:xfrm>
            <a:off x="137160" y="739140"/>
            <a:ext cx="3093720" cy="146304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B6DD2D5D-B233-9D10-C7DC-180578470654}"/>
              </a:ext>
            </a:extLst>
          </xdr:cNvPr>
          <xdr:cNvSpPr/>
        </xdr:nvSpPr>
        <xdr:spPr>
          <a:xfrm>
            <a:off x="243840" y="861060"/>
            <a:ext cx="2842260" cy="55626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rPr>
              <a:t>AVERAGE PRICE</a:t>
            </a:r>
          </a:p>
        </xdr:txBody>
      </xdr:sp>
      <xdr:sp macro="" textlink="Sheet4!C18">
        <xdr:nvSpPr>
          <xdr:cNvPr id="14" name="Rectangle: Rounded Corners 13">
            <a:extLst>
              <a:ext uri="{FF2B5EF4-FFF2-40B4-BE49-F238E27FC236}">
                <a16:creationId xmlns:a16="http://schemas.microsoft.com/office/drawing/2014/main" id="{954B4A3C-0788-4497-1A54-4F581E87A4F5}"/>
              </a:ext>
            </a:extLst>
          </xdr:cNvPr>
          <xdr:cNvSpPr/>
        </xdr:nvSpPr>
        <xdr:spPr>
          <a:xfrm>
            <a:off x="243840" y="1508760"/>
            <a:ext cx="2842260" cy="55626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393A8AE-F6BE-43AC-8AD5-CBF814F280C0}" type="TxLink">
              <a:rPr lang="en-US" sz="2800" b="0" i="0" u="none" strike="noStrike">
                <a:solidFill>
                  <a:srgbClr val="000000"/>
                </a:solidFill>
                <a:latin typeface="Calibri"/>
                <a:ea typeface="Calibri"/>
                <a:cs typeface="Calibri"/>
              </a:rPr>
              <a:pPr algn="ctr"/>
              <a:t>144.18</a:t>
            </a:fld>
            <a:endParaRPr lang="en-US" sz="2800"/>
          </a:p>
        </xdr:txBody>
      </xdr:sp>
    </xdr:grpSp>
    <xdr:clientData/>
  </xdr:twoCellAnchor>
  <xdr:twoCellAnchor>
    <xdr:from>
      <xdr:col>0</xdr:col>
      <xdr:colOff>100997</xdr:colOff>
      <xdr:row>27</xdr:row>
      <xdr:rowOff>181429</xdr:rowOff>
    </xdr:from>
    <xdr:to>
      <xdr:col>5</xdr:col>
      <xdr:colOff>338666</xdr:colOff>
      <xdr:row>37</xdr:row>
      <xdr:rowOff>120953</xdr:rowOff>
    </xdr:to>
    <xdr:grpSp>
      <xdr:nvGrpSpPr>
        <xdr:cNvPr id="15" name="Group 14">
          <a:extLst>
            <a:ext uri="{FF2B5EF4-FFF2-40B4-BE49-F238E27FC236}">
              <a16:creationId xmlns:a16="http://schemas.microsoft.com/office/drawing/2014/main" id="{B6680C82-6AAE-4F59-9613-091FDAD80D19}"/>
            </a:ext>
          </a:extLst>
        </xdr:cNvPr>
        <xdr:cNvGrpSpPr/>
      </xdr:nvGrpSpPr>
      <xdr:grpSpPr>
        <a:xfrm>
          <a:off x="100997" y="5577888"/>
          <a:ext cx="3610456" cy="1938213"/>
          <a:chOff x="137160" y="739140"/>
          <a:chExt cx="3093720" cy="1463040"/>
        </a:xfrm>
      </xdr:grpSpPr>
      <xdr:sp macro="" textlink="">
        <xdr:nvSpPr>
          <xdr:cNvPr id="16" name="Rectangle: Rounded Corners 15">
            <a:extLst>
              <a:ext uri="{FF2B5EF4-FFF2-40B4-BE49-F238E27FC236}">
                <a16:creationId xmlns:a16="http://schemas.microsoft.com/office/drawing/2014/main" id="{0BF94086-9A63-8E6F-5F1B-B1CCCFEDFE9D}"/>
              </a:ext>
            </a:extLst>
          </xdr:cNvPr>
          <xdr:cNvSpPr/>
        </xdr:nvSpPr>
        <xdr:spPr>
          <a:xfrm>
            <a:off x="137160" y="739140"/>
            <a:ext cx="3093720" cy="146304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489FD916-C20F-527A-7634-D7DEA51799A4}"/>
              </a:ext>
            </a:extLst>
          </xdr:cNvPr>
          <xdr:cNvSpPr/>
        </xdr:nvSpPr>
        <xdr:spPr>
          <a:xfrm>
            <a:off x="243840" y="861060"/>
            <a:ext cx="2842260" cy="55626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rPr>
              <a:t>AVERAGE DISCOUNT</a:t>
            </a:r>
          </a:p>
        </xdr:txBody>
      </xdr:sp>
      <xdr:sp macro="" textlink="Sheet4!D18">
        <xdr:nvSpPr>
          <xdr:cNvPr id="18" name="Rectangle: Rounded Corners 17">
            <a:extLst>
              <a:ext uri="{FF2B5EF4-FFF2-40B4-BE49-F238E27FC236}">
                <a16:creationId xmlns:a16="http://schemas.microsoft.com/office/drawing/2014/main" id="{D6AC5DC5-FB00-5E5C-3AE2-C890ECF1FB2E}"/>
              </a:ext>
            </a:extLst>
          </xdr:cNvPr>
          <xdr:cNvSpPr/>
        </xdr:nvSpPr>
        <xdr:spPr>
          <a:xfrm>
            <a:off x="243840" y="1508760"/>
            <a:ext cx="2842260" cy="55626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A802C67-55B9-4691-8F88-2BB740F38390}" type="TxLink">
              <a:rPr lang="en-US" sz="2400" b="0" i="0" u="none" strike="noStrike">
                <a:solidFill>
                  <a:srgbClr val="000000"/>
                </a:solidFill>
                <a:latin typeface="Calibri"/>
                <a:ea typeface="Calibri"/>
                <a:cs typeface="Calibri"/>
              </a:rPr>
              <a:pPr algn="ctr"/>
              <a:t>66%</a:t>
            </a:fld>
            <a:endParaRPr lang="en-IN" sz="2400">
              <a:solidFill>
                <a:schemeClr val="bg2">
                  <a:lumMod val="10000"/>
                </a:schemeClr>
              </a:solidFill>
            </a:endParaRPr>
          </a:p>
        </xdr:txBody>
      </xdr:sp>
    </xdr:grpSp>
    <xdr:clientData/>
  </xdr:twoCellAnchor>
  <xdr:twoCellAnchor>
    <xdr:from>
      <xdr:col>20</xdr:col>
      <xdr:colOff>411238</xdr:colOff>
      <xdr:row>22</xdr:row>
      <xdr:rowOff>36286</xdr:rowOff>
    </xdr:from>
    <xdr:to>
      <xdr:col>27</xdr:col>
      <xdr:colOff>199869</xdr:colOff>
      <xdr:row>39</xdr:row>
      <xdr:rowOff>174885</xdr:rowOff>
    </xdr:to>
    <xdr:graphicFrame macro="">
      <xdr:nvGraphicFramePr>
        <xdr:cNvPr id="19" name="Chart 18">
          <a:extLst>
            <a:ext uri="{FF2B5EF4-FFF2-40B4-BE49-F238E27FC236}">
              <a16:creationId xmlns:a16="http://schemas.microsoft.com/office/drawing/2014/main" id="{EE749F7F-2770-49E2-843A-5B5D6F7C7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532191</xdr:colOff>
      <xdr:row>22</xdr:row>
      <xdr:rowOff>31833</xdr:rowOff>
    </xdr:from>
    <xdr:to>
      <xdr:col>20</xdr:col>
      <xdr:colOff>290286</xdr:colOff>
      <xdr:row>40</xdr:row>
      <xdr:rowOff>124918</xdr:rowOff>
    </xdr:to>
    <xdr:graphicFrame macro="">
      <xdr:nvGraphicFramePr>
        <xdr:cNvPr id="20" name="Chart 19">
          <a:extLst>
            <a:ext uri="{FF2B5EF4-FFF2-40B4-BE49-F238E27FC236}">
              <a16:creationId xmlns:a16="http://schemas.microsoft.com/office/drawing/2014/main" id="{ADCE192A-9A38-4CDC-A008-31CC3478E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411238</xdr:colOff>
      <xdr:row>5</xdr:row>
      <xdr:rowOff>108857</xdr:rowOff>
    </xdr:from>
    <xdr:to>
      <xdr:col>12</xdr:col>
      <xdr:colOff>411238</xdr:colOff>
      <xdr:row>21</xdr:row>
      <xdr:rowOff>72572</xdr:rowOff>
    </xdr:to>
    <xdr:graphicFrame macro="">
      <xdr:nvGraphicFramePr>
        <xdr:cNvPr id="21" name="Chart 20">
          <a:extLst>
            <a:ext uri="{FF2B5EF4-FFF2-40B4-BE49-F238E27FC236}">
              <a16:creationId xmlns:a16="http://schemas.microsoft.com/office/drawing/2014/main" id="{1CCB2A9A-1E42-4CA8-B81B-105B11D0C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399144</xdr:colOff>
      <xdr:row>5</xdr:row>
      <xdr:rowOff>96762</xdr:rowOff>
    </xdr:from>
    <xdr:to>
      <xdr:col>27</xdr:col>
      <xdr:colOff>193523</xdr:colOff>
      <xdr:row>21</xdr:row>
      <xdr:rowOff>145143</xdr:rowOff>
    </xdr:to>
    <mc:AlternateContent xmlns:mc="http://schemas.openxmlformats.org/markup-compatibility/2006" xmlns:a14="http://schemas.microsoft.com/office/drawing/2010/main">
      <mc:Choice Requires="a14">
        <xdr:graphicFrame macro="">
          <xdr:nvGraphicFramePr>
            <xdr:cNvPr id="7" name="type 1">
              <a:extLst>
                <a:ext uri="{FF2B5EF4-FFF2-40B4-BE49-F238E27FC236}">
                  <a16:creationId xmlns:a16="http://schemas.microsoft.com/office/drawing/2014/main" id="{071FD4BC-9A6E-469B-AE9C-04EAA2A77B43}"/>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3890292" y="1096106"/>
              <a:ext cx="4516280" cy="3246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532190</xdr:colOff>
      <xdr:row>5</xdr:row>
      <xdr:rowOff>108858</xdr:rowOff>
    </xdr:from>
    <xdr:to>
      <xdr:col>20</xdr:col>
      <xdr:colOff>241905</xdr:colOff>
      <xdr:row>21</xdr:row>
      <xdr:rowOff>60477</xdr:rowOff>
    </xdr:to>
    <xdr:graphicFrame macro="">
      <xdr:nvGraphicFramePr>
        <xdr:cNvPr id="8" name="Chart 7">
          <a:extLst>
            <a:ext uri="{FF2B5EF4-FFF2-40B4-BE49-F238E27FC236}">
              <a16:creationId xmlns:a16="http://schemas.microsoft.com/office/drawing/2014/main" id="{1FE092D0-376B-4E5B-A80E-2788A5629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447522</xdr:colOff>
      <xdr:row>22</xdr:row>
      <xdr:rowOff>36287</xdr:rowOff>
    </xdr:from>
    <xdr:to>
      <xdr:col>12</xdr:col>
      <xdr:colOff>423333</xdr:colOff>
      <xdr:row>40</xdr:row>
      <xdr:rowOff>108859</xdr:rowOff>
    </xdr:to>
    <xdr:graphicFrame macro="">
      <xdr:nvGraphicFramePr>
        <xdr:cNvPr id="9" name="Chart 8">
          <a:extLst>
            <a:ext uri="{FF2B5EF4-FFF2-40B4-BE49-F238E27FC236}">
              <a16:creationId xmlns:a16="http://schemas.microsoft.com/office/drawing/2014/main" id="{DFFE5DD1-D8C1-4B2C-8F87-81E5BF730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pal" refreshedDate="46079.58436064815" createdVersion="8" refreshedVersion="8" minRefreshableVersion="3" recordCount="351" xr:uid="{D240E822-8C7A-4839-9511-A72B18408956}">
  <cacheSource type="worksheet">
    <worksheetSource ref="A1:O352" sheet="Clean data"/>
  </cacheSource>
  <cacheFields count="15">
    <cacheField name="web-scraper-order" numFmtId="49">
      <sharedItems count="351">
        <s v="1739021150-1"/>
        <s v="1739021152-2"/>
        <s v="1739021155-3"/>
        <s v="1739021157-4"/>
        <s v="1739021160-5"/>
        <s v="1739021163-6"/>
        <s v="1739021165-7"/>
        <s v="1739021168-8"/>
        <s v="1739021171-9"/>
        <s v="1739021174-10"/>
        <s v="1739021177-11"/>
        <s v="1739021179-12"/>
        <s v="1739021182-13"/>
        <s v="1739021189-15"/>
        <s v="1739021191-16"/>
        <s v="1739021194-17"/>
        <s v="1739021196-18"/>
        <s v="1739021199-19"/>
        <s v="1739021201-20"/>
        <s v="1739021204-21"/>
        <s v="1739021206-22"/>
        <s v="1739021209-23"/>
        <s v="1739021211-24"/>
        <s v="1739021214-25"/>
        <s v="1739021216-26"/>
        <s v="1739021219-27"/>
        <s v="1739021221-28"/>
        <s v="1739021226-30"/>
        <s v="1739021229-31"/>
        <s v="1739021231-32"/>
        <s v="1739021234-33"/>
        <s v="1739021236-34"/>
        <s v="1739021239-35"/>
        <s v="1739021241-36"/>
        <s v="1739021244-37"/>
        <s v="1739021246-38"/>
        <s v="1739021249-39"/>
        <s v="1739021251-40"/>
        <s v="1739021257-41"/>
        <s v="1739021259-42"/>
        <s v="1739021262-43"/>
        <s v="1739021265-44"/>
        <s v="1739021268-45"/>
        <s v="1739021270-46"/>
        <s v="1739021273-47"/>
        <s v="1739021275-48"/>
        <s v="1739021278-49"/>
        <s v="1739021280-50"/>
        <s v="1739021283-51"/>
        <s v="1739021285-52"/>
        <s v="1739021288-53"/>
        <s v="1739021290-54"/>
        <s v="1739021295-56"/>
        <s v="1739021298-57"/>
        <s v="1739021305-60"/>
        <s v="1739021308-61"/>
        <s v="1739021310-62"/>
        <s v="1739021313-63"/>
        <s v="1739021315-64"/>
        <s v="1739021318-65"/>
        <s v="1739021320-66"/>
        <s v="1739021323-67"/>
        <s v="1739021326-68"/>
        <s v="1739021328-69"/>
        <s v="1739021331-70"/>
        <s v="1739021333-71"/>
        <s v="1739021336-72"/>
        <s v="1739021338-73"/>
        <s v="1739021340-74"/>
        <s v="1739021343-75"/>
        <s v="1739021345-76"/>
        <s v="1739021348-77"/>
        <s v="1739021351-78"/>
        <s v="1739021353-79"/>
        <s v="1739021356-80"/>
        <s v="1739021361-81"/>
        <s v="1739021363-82"/>
        <s v="1739021366-83"/>
        <s v="1739021368-84"/>
        <s v="1739021371-85"/>
        <s v="1739021373-86"/>
        <s v="1739021378-88"/>
        <s v="1739021381-89"/>
        <s v="1739021383-90"/>
        <s v="1739021386-91"/>
        <s v="1739021388-92"/>
        <s v="1739021391-93"/>
        <s v="1739021393-94"/>
        <s v="1739021398-96"/>
        <s v="1739021401-97"/>
        <s v="1739021404-98"/>
        <s v="1739021406-99"/>
        <s v="1739021409-100"/>
        <s v="1739021411-101"/>
        <s v="1739021414-102"/>
        <s v="1739021416-103"/>
        <s v="1739021419-104"/>
        <s v="1739021421-105"/>
        <s v="1739021424-106"/>
        <s v="1739021429-108"/>
        <s v="1739021432-109"/>
        <s v="1739021434-110"/>
        <s v="1739021437-111"/>
        <s v="1739021439-112"/>
        <s v="1739021442-113"/>
        <s v="1739021444-114"/>
        <s v="1739021447-115"/>
        <s v="1739021449-116"/>
        <s v="1739021452-117"/>
        <s v="1739021454-118"/>
        <s v="1739021457-119"/>
        <s v="1739021459-120"/>
        <s v="1739021464-121"/>
        <s v="1739021467-122"/>
        <s v="1739021469-123"/>
        <s v="1739021472-124"/>
        <s v="1739021477-126"/>
        <s v="1739021479-127"/>
        <s v="1739021482-128"/>
        <s v="1739021484-129"/>
        <s v="1739021487-130"/>
        <s v="1739021489-131"/>
        <s v="1739021493-132"/>
        <s v="1739021496-133"/>
        <s v="1739021498-134"/>
        <s v="1739021501-135"/>
        <s v="1739021503-136"/>
        <s v="1739021506-137"/>
        <s v="1739021509-138"/>
        <s v="1739021512-139"/>
        <s v="1739021515-140"/>
        <s v="1739021518-141"/>
        <s v="1739021521-142"/>
        <s v="1739021523-143"/>
        <s v="1739021526-144"/>
        <s v="1739021528-145"/>
        <s v="1739021531-146"/>
        <s v="1739021538-148"/>
        <s v="1739021541-149"/>
        <s v="1739021544-150"/>
        <s v="1739021549-151"/>
        <s v="1739021553-152"/>
        <s v="1739021557-153"/>
        <s v="1739021561-154"/>
        <s v="1739021564-155"/>
        <s v="1739021567-156"/>
        <s v="1739021571-157"/>
        <s v="1739021574-158"/>
        <s v="1739021578-159"/>
        <s v="1739021582-160"/>
        <s v="1739021590-161"/>
        <s v="1739021593-162"/>
        <s v="1739021596-163"/>
        <s v="1739021598-164"/>
        <s v="1739021601-165"/>
        <s v="1739021605-166"/>
        <s v="1739021611-168"/>
        <s v="1739021614-169"/>
        <s v="1739021617-170"/>
        <s v="1739021620-171"/>
        <s v="1739021622-172"/>
        <s v="1739021629-174"/>
        <s v="1739021631-175"/>
        <s v="1739021634-176"/>
        <s v="1739021636-177"/>
        <s v="1739021639-178"/>
        <s v="1739021642-179"/>
        <s v="1739021644-180"/>
        <s v="1739021647-181"/>
        <s v="1739021649-182"/>
        <s v="1739021653-183"/>
        <s v="1739021655-184"/>
        <s v="1739021658-185"/>
        <s v="1739021661-186"/>
        <s v="1739021666-188"/>
        <s v="1739021669-189"/>
        <s v="1739021672-190"/>
        <s v="1739021675-191"/>
        <s v="1739021683-193"/>
        <s v="1739021685-194"/>
        <s v="1739021688-195"/>
        <s v="1739021690-196"/>
        <s v="1739021693-197"/>
        <s v="1739021696-198"/>
        <s v="1739021698-199"/>
        <s v="1739021701-200"/>
        <s v="1739021709-201"/>
        <s v="1739021711-202"/>
        <s v="1739021714-203"/>
        <s v="1739021716-204"/>
        <s v="1739021719-205"/>
        <s v="1739021721-206"/>
        <s v="1739021724-207"/>
        <s v="1739021726-208"/>
        <s v="1739021729-209"/>
        <s v="1739021732-210"/>
        <s v="1739021734-211"/>
        <s v="1739021737-212"/>
        <s v="1739021740-213"/>
        <s v="1739021742-214"/>
        <s v="1739021745-215"/>
        <s v="1739021747-216"/>
        <s v="1739021750-217"/>
        <s v="1739021753-218"/>
        <s v="1739021757-219"/>
        <s v="1739021760-220"/>
        <s v="1739021763-221"/>
        <s v="1739021767-222"/>
        <s v="1739021770-223"/>
        <s v="1739021774-224"/>
        <s v="1739021778-225"/>
        <s v="1739021780-226"/>
        <s v="1739021784-227"/>
        <s v="1739021786-228"/>
        <s v="1739021789-229"/>
        <s v="1739021792-230"/>
        <s v="1739021795-231"/>
        <s v="1739021798-232"/>
        <s v="1739021802-233"/>
        <s v="1739021806-234"/>
        <s v="1739021809-235"/>
        <s v="1739021814-236"/>
        <s v="1739021818-237"/>
        <s v="1739021826-239"/>
        <s v="1739021830-240"/>
        <s v="1739021839-241"/>
        <s v="1739021844-242"/>
        <s v="1739021848-243"/>
        <s v="1739021851-244"/>
        <s v="1739021855-245"/>
        <s v="1739021860-246"/>
        <s v="1739021864-247"/>
        <s v="1739021867-248"/>
        <s v="1739021871-249"/>
        <s v="1739021874-250"/>
        <s v="1739021877-251"/>
        <s v="1739021881-252"/>
        <s v="1739021888-254"/>
        <s v="1739021891-255"/>
        <s v="1739021895-256"/>
        <s v="1739021902-258"/>
        <s v="1739021905-259"/>
        <s v="1739021910-261"/>
        <s v="1739021912-262"/>
        <s v="1739021917-264"/>
        <s v="1739021920-265"/>
        <s v="1739021925-266"/>
        <s v="1739021928-267"/>
        <s v="1739021933-268"/>
        <s v="1739021939-270"/>
        <s v="1739021945-271"/>
        <s v="1739021950-273"/>
        <s v="1739021952-274"/>
        <s v="1739021955-275"/>
        <s v="1739021960-277"/>
        <s v="1739021963-278"/>
        <s v="1739021966-279"/>
        <s v="1739021968-280"/>
        <s v="1739021973-281"/>
        <s v="1739021976-282"/>
        <s v="1739021978-283"/>
        <s v="1739021981-284"/>
        <s v="1739021983-285"/>
        <s v="1739021986-286"/>
        <s v="1739021988-287"/>
        <s v="1739021991-288"/>
        <s v="1739021993-289"/>
        <s v="1739021996-290"/>
        <s v="1739021999-291"/>
        <s v="1739022002-292"/>
        <s v="1739022004-293"/>
        <s v="1739022006-294"/>
        <s v="1739022009-295"/>
        <s v="1739022012-296"/>
        <s v="1739022014-297"/>
        <s v="1739022017-298"/>
        <s v="1739022019-299"/>
        <s v="1739022022-300"/>
        <s v="1739022024-301"/>
        <s v="1739022027-302"/>
        <s v="1739022030-303"/>
        <s v="1739022033-304"/>
        <s v="1739022035-305"/>
        <s v="1739022038-306"/>
        <s v="1739022041-307"/>
        <s v="1739022043-308"/>
        <s v="1739022046-309"/>
        <s v="1739022048-310"/>
        <s v="1739022051-311"/>
        <s v="1739022056-313"/>
        <s v="1739022058-314"/>
        <s v="1739022061-315"/>
        <s v="1739022063-316"/>
        <s v="1739022066-317"/>
        <s v="1739022069-318"/>
        <s v="1739022072-319"/>
        <s v="1739022082-321"/>
        <s v="1739022087-323"/>
        <s v="1739022091-324"/>
        <s v="1739022093-325"/>
        <s v="1739022096-326"/>
        <s v="1739022103-328"/>
        <s v="1739022111-330"/>
        <s v="1739022113-331"/>
        <s v="1739022117-332"/>
        <s v="1739022119-333"/>
        <s v="1739022123-334"/>
        <s v="1739022126-335"/>
        <s v="1739022129-336"/>
        <s v="1739022132-337"/>
        <s v="1739022135-338"/>
        <s v="1739022138-339"/>
        <s v="1739022140-340"/>
        <s v="1739022143-341"/>
        <s v="1739022146-342"/>
        <s v="1739022149-343"/>
        <s v="1739022151-344"/>
        <s v="1739022154-345"/>
        <s v="1739022159-346"/>
        <s v="1739022163-347"/>
        <s v="1739022171-349"/>
        <s v="1739022174-350"/>
        <s v="1739022176-351"/>
        <s v="1739022179-352"/>
        <s v="1739022181-353"/>
        <s v="1739022184-354"/>
        <s v="1739022186-355"/>
        <s v="1739022189-356"/>
        <s v="1739022191-357"/>
        <s v="1739022194-358"/>
        <s v="1739022196-359"/>
        <s v="1739022199-360"/>
        <s v="1739022201-361"/>
        <s v="1739022206-363"/>
        <s v="1739022212-365"/>
        <s v="1739022215-366"/>
        <s v="1739022217-367"/>
        <s v="1739022224-369"/>
        <s v="1739022229-371"/>
        <s v="1739022245-375"/>
        <s v="1739022250-377"/>
        <s v="1739022253-378"/>
        <s v="1739022260-381"/>
        <s v="1739022270-385"/>
        <s v="1739022273-386"/>
        <s v="1739022278-388"/>
        <s v="1739022285-391"/>
        <s v="1739022288-392"/>
        <s v="1739022292-394"/>
        <s v="1739022300-397"/>
        <s v="1739022302-398"/>
      </sharedItems>
    </cacheField>
    <cacheField name="name" numFmtId="49">
      <sharedItems count="314">
        <s v="Pottplants Anthurium Plant  (Pack of 1)"/>
        <s v="greenhousestore Ficus Bonsai Plant  (Hybrid, Pack of 1)"/>
        <s v="Roy's Fashoin Brahma Kamal Plant  (Hybrid, Pack of 1)"/>
        <s v="FURYHUB Tomato Plant  (Hybrid, Pack of 1)"/>
        <s v="Global Mart Plant Pomegranate Plant  (Hybrid, Pack of 1)"/>
        <s v="greenhousestore Jackfruit Plant  (Hybrid, Pack of 1)"/>
        <s v="Aquinnah Graden White Sandalwood Plant  (Hybrid, Pack of 1)"/>
        <s v="Cloud Farm Gummy Gardenia Plant  (Hybrid, Pack of 1)"/>
        <s v="FSK Betel Nut/Supari Plant  (Hybrid, Pack of 1)"/>
        <s v="Cloud Farm Dragon Tree  (Hybrid, Pack of 3)"/>
        <s v="AloGardening Dragon Tree  (Hybrid, Pack of 2)"/>
        <s v="Mrplant Jade Plant  (Pack of 1)"/>
        <s v="pagoda point Crasulla Ovata Plant  (Hybrid, Pack of 1)"/>
        <s v="LaughEarth White Sandalwood Plant  (Hybrid, Pack of 1)"/>
        <s v="Ariya Berry Plant  (Hybrid, Pack of 1)"/>
        <s v="PlantsEarth Hibiscus Plant  (Hybrid, Pack of 1)"/>
        <s v="Bijaya Online Store Areca Palm  (Hybrid, Pack of 3)"/>
        <s v="ibains Mini Brazalian wood  (Hybrid, Pack of 44)"/>
        <s v="AloGardening Guava Plant  (Hybrid, Pack of 1)"/>
        <s v="AloGardening Dragon Tree  (Hybrid, Pack of 6)"/>
        <s v="Ukanda Hibiscus Plant  (Hybrid, Pack of 1)"/>
        <s v="AloGardening Ber Apple Plant  (Hybrid, Pack of 1)"/>
        <s v="EVY Shami/Jand Plant  (Hybrid, Pack of 1)"/>
        <s v="greenhousestore Hibiscus Plant  (Hybrid, Pack of 1)"/>
        <s v="GreenHorizon Rudraksha Plant  (Hybrid, Pack of 1)"/>
        <s v="Corofitam Jamun Plant  (Hybrid, Pack of 1)"/>
        <s v="Ukanda Bay Leaf Plant  (Hybrid, Pack of 1)"/>
        <s v="Cloud Farm Tuberose/Rajnigandha Plant  (Hybrid, Pack of 1)"/>
        <s v="Augadh Orange Plant  (Hybrid, Pack of 1)"/>
        <s v="natikrd Chrysanthemums/ Guldavari Plant  (Hybrid, Pack of 1)"/>
        <s v="PETALFLEUR Adenium Plant  (Hybrid, Pack of 1)"/>
        <s v="Tribute Giloy Plant  (Pack of 20)"/>
        <s v="greenhousestore Shami/Jand Plant  (Hybrid, Pack of 1)"/>
        <s v="greenhousestore Orchid Plant  (Hybrid, Pack of 1)"/>
        <s v="HARIGURU Aparajita/ Butterfly Pea Plant  (Hybrid, Pack of 1)"/>
        <s v="PLANTTOOZS White Sandalwood Plant  (Hybrid, Pack of 1)"/>
        <s v="ZOOMGREEN Aglaonema Plant  (Hybrid, Pack of 1)"/>
        <s v="greenhousestore Grapes Plant  (Hybrid, Pack of 1)"/>
        <s v="Linaa Jade Plant  (Hybrid, Pack of 1)"/>
        <s v="AquinnahGaden Pistachio Plant  (Hybrid, Pack of 1)"/>
        <s v="MAITRA AND SONS Areca Plam  (Hybrid, Pack of 1)"/>
        <s v="HIGH TECH FARM Wax Apple Plant  (Hybrid, Pack of 1)"/>
        <s v="Grinian Spider Plant  (Hybrid, Pack of 1)"/>
        <s v="GHF Two Layer Bamboo Plant  (Pack of 1)"/>
        <s v="PLANTTOOZS Coconut Plant  (Pack of 1)"/>
        <s v="greenhousestore Curry Leaf Plant  (Hybrid, Pack of 1)"/>
        <s v="AquinnahGaden Brahma Kamal Plant  (Hybrid, Pack of 1)"/>
        <s v="EVY Rudraksha Plant  (Hybrid, Pack of 1)"/>
        <s v="MircleGarden Tulsi Plant  (Hybrid, Pack of 1)"/>
        <s v="AquinnahGaden Areca Palm  (Hybrid, Pack of 1)"/>
        <s v="rimardmistu Drumstick Tree Plant  (Hybrid, Pack of 1)"/>
        <s v="greengrow Neem Plant  (Hybrid, Pack of 1)"/>
        <s v="greenhousestore Apple Plant  (Hybrid, Pack of 1)"/>
        <s v="PB honey priya plant Shami/Jand Plant  (Hybrid, Pack of 1)"/>
        <s v="Kyari Jade Plant  (Pack of 1)"/>
        <s v="Click to purchase Madhu Kamini Plant  (Hybrid, Pack of 1)"/>
        <s v="FasanGreen Jasmine Plant  (Hybrid, Pack of 1)"/>
        <s v="AquinnahGaden Black Pepper Plant  (Hybrid, Pack of 2)"/>
        <s v="PlantsMart Hibiscus Plant  (Hybrid, Pack of 1)"/>
        <s v="Skrhuvoy Coleus Plant  (Pack of 1)"/>
        <s v="Cloud Farm Grapes Plant  (Hybrid, Pack of 1)"/>
        <s v="Gereen View Bel Plant  (Hybrid, Pack of 1)"/>
        <s v="BALA PLANT CREATION Cherry Fruit Plant  (Hybrid, Pack of 1)"/>
        <s v="ARYAN EVERGREEN Rose Plant  (Hybrid, Pack of 1)"/>
        <s v="ADITYA GREEN PLANTS AGP Bacopa Monnieri  (Pack of 1)"/>
        <s v="Cloud Farm Durian Plant  (Hybrid, Pack of 1)"/>
        <s v="Global Mart Plant Mini Brazalian wood  (Hybrid, Pack of 1)"/>
        <s v="GreenHorizon Guava Plant  (Hybrid, Pack of 1)"/>
        <s v="FURYHUB Portulaca Plant  (Hybrid, Pack of 1)"/>
        <s v="greenhousestore Wax Apple Plant  (Hybrid, Pack of 1)"/>
        <s v="GreenGrowth Orchid Plant  (Hybrid, Pack of 4)"/>
        <s v="Royplant Snake Plant  (Hybrid, Pack of 1)"/>
        <s v="Cloud Farm Rose Plant  (Hybrid, Pack of 1)"/>
        <s v="GREENELAND lotus  (Hybrid, Pack of 1)"/>
        <s v="Click to buy Calathea Dottie  (Hybrid, Pack of 1)"/>
        <s v="greengrow Snake Plant  (Hybrid, Pack of 1)"/>
        <s v="EarthAngel Rose Plant  (Hybrid, Pack of 1)"/>
        <s v="KUMUBON Begonia Vanusta Plant  (Pack of 1)"/>
        <s v="greenhousestore ZZ Plant  (Hybrid, Pack of 1)"/>
        <s v="greenhousestore Star Fruit Carambola Grafted Plant  (Hybrid, Pack of 1)"/>
        <s v="HARIGURU Shahtoot/Mulberry Plant  (Hybrid, Pack of 1)"/>
        <s v="greenhousestore Aloe Vera Plant  (Hybrid, Pack of 1)"/>
        <s v="FSK Cinnamon Plant  (Hybrid, Pack of 1)"/>
        <s v="GHF Two Layer Bamboo Plant  (Hybrid, Pack of 1)"/>
        <s v="greenhousestore Jack Fruit Plant  (Hybrid, Pack of 1)"/>
        <s v="PB HONEY PRIYA PLaNTS Bluebell barleria Plant  (Hybrid, Pack of 1)"/>
        <s v="jarr Money Plant  (Hybrid, Pack of 1)"/>
        <s v="PB honey priya plant Star Fruit Carambola Grafted Plant  (Hybrid, Pack of 1)"/>
        <s v="greenhousestore Madhumalti/Rangoon Creeper  (Hybrid, Pack of 1)"/>
        <s v="AloGardening Betel Leaf Plant  (Hybrid, Pack of 1)"/>
        <s v="Samarthgreens Pomegranate Plant  (Hybrid, Pack of 1)"/>
        <s v="PEDPOUDHE Calathea Plant  (Hybrid, Pack of 1)"/>
        <s v="GreenHorizon Aloe Vera Plant  (Hybrid, Pack of 1)"/>
        <s v="MAITRA AND SONS Jade Plant  (Hybrid, Pack of 1)"/>
        <s v="E-GARDEN RED ROSE PLANT  (Pack of 1)"/>
        <s v="Zomoloco Ber Apple Plant  (Hybrid, Pack of 1)"/>
        <s v="ARYAN EVERGREEN Lily Plant  (Hybrid, Pack of 1)"/>
        <s v="greenhousestore Banana Plant  (Hybrid, Pack of 1)"/>
        <s v="GaiaStore Orchid Plant  (Hybrid, Pack of 5)"/>
        <s v="Gabbro Jade Plant  (Hybrid, Pack of 1)"/>
        <s v="Rm live plant ZZ Plant  (Hybrid, Pack of 1)"/>
        <s v="Vijay Sales Spider Plant  (Hybrid, Pack of 1)"/>
        <s v="greenhousestore Coconut Plant  (Hybrid, Pack of 1)"/>
        <s v="greenhousestore Rose Plant  (Hybrid, Pack of 1)"/>
        <s v="Tha live root Laxmi kamal Laxmi Kamal Plant  (Hybrid, Pack of 1)"/>
        <s v="AquinnahGaden Insulin Plant  (Hybrid, Pack of 1)"/>
        <s v="sealok Euphorbia Plant  (Hybrid, Pack of 1)"/>
        <s v="ABEFARIYA Begonia Vanusta Plant  (Hybrid, Pack of 1)"/>
        <s v="FURYHUB Money Plant  (Hybrid, Pack of 1)"/>
        <s v="MAITRA AND SONS Rosemary Plant  (Hybrid, Pack of 1)"/>
        <s v="KUMUBON Madhu Kamini Plant  (Hybrid, Pack of 1)"/>
        <s v="Cloud Farm Papaya Plant  (Hybrid, Pack of 1)"/>
        <s v="LaughEarth Shami/Jand Plant  (Pack of 1)"/>
        <s v="Marinetree Bougainvillea Plant  (Hybrid, Pack of 1)"/>
        <s v="Cloud Farm Chiku Plant  (Hybrid, Pack of 1)"/>
        <s v="K,M.GREEN Tamarind Plant  (Hybrid, Pack of 1)"/>
        <s v="Cloud Farm Almond Plant  (Hybrid, Pack of 1)"/>
        <s v="ADA China Palm Plant  (Hybrid, Pack of 1)"/>
        <s v="Samarthgreens Ficus Plant  (Hybrid, Pack of 1)"/>
        <s v="Ukanda ZZ Plant  (Hybrid, Pack of 1)"/>
        <s v="FSK Coconut Plant  (Hybrid, Pack of 1)"/>
        <s v="greenhousestore Lemon Plant  (Hybrid, Pack of 1)"/>
        <s v="Aquinnah Banana Plant  (Hybrid, Pack of 1)"/>
        <s v="greenhousestore Mango Plant  (Hybrid, Pack of 1)"/>
        <s v="greenhousestore Black Pepper Plant  (Hybrid, Pack of 1)"/>
        <s v="Cloud Farm Kiwi Plant  (Hybrid, Pack of 1)"/>
        <s v="greenhousestore Amla Plant  (Hybrid, Pack of 1)"/>
        <s v="AquinnahGaden Litchi Plant  (Hybrid, Pack of 1)"/>
        <s v="PETALFLEUR Adenium Plant  (Hybrid, Pack of 2)"/>
        <s v="Cloud Farm Adenium Plant  (Hybrid, Pack of 1)"/>
        <s v="EliteGreen Betel Nut/Supari Plant  (Hybrid, Pack of 1)"/>
        <s v="Nature House Snake Plant  (Pack of 1)"/>
        <s v="greenhousestore Christmas Tree Plant  (Hybrid, Pack of 1)"/>
        <s v="NATURE WISE YOU Spider Plant  (Hybrid, Pack of 1)"/>
        <s v="KUMUBON Amla Plant  (Hybrid, Pack of 1)"/>
        <s v="GreenHorizon Elaichi/Cardamom Plant  (Hybrid, Pack of 1)"/>
        <s v="Heaven Of Saplings Gummy Gardenia Plant  (Hybrid, Pack of 1)"/>
        <s v="PEEPALSFARM Betel Leaf Plant  (Hybrid, Pack of 1)"/>
        <s v="AloGardening ZZ Plant  (Hybrid, Pack of 1)"/>
        <s v="greenhousestore Walnut Plant  (Hybrid, Pack of 1)"/>
        <s v="EVY Tea Plant  (Hybrid, Pack of 1)"/>
        <s v="Global Mart Plant Blackberry Lily Plant  (Hybrid, Pack of 1)"/>
        <s v="Durga Green Garden Golden Champa Plant  (Hybrid, Pack of 1)"/>
        <s v="Grinian Bougainvillea Plant  (Hybrid, Pack of 1)"/>
        <s v="EVY Lily Plant  (Hybrid, Pack of 1)"/>
        <s v="minatigreenhouse Walnut Plant  (Hybrid, Pack of 1)"/>
        <s v="greenhousestore Elaichi/Cardamom Plant  (Hybrid, Pack of 1)"/>
        <s v="Cloud Farm Ber Apple Plant  (Hybrid, Pack of 1)"/>
        <s v="Click to buy Peace Lily Plant  (Hybrid, Pack of 1)"/>
        <s v="LivePlant Calathea Plant  (Pack of 1)"/>
        <s v="Aquinnah Rose Plant  (Hybrid, Pack of 1)"/>
        <s v="Samarthgreens Red Sandalwood Plant  (Pack of 1)"/>
        <s v="Linaa Rubber Tree  (Hybrid, Pack of 1)"/>
        <s v="Oxygreenplant Phoneix Palm Plant  (Hybrid, Pack of 1)"/>
        <s v="JD DAS AND SONS PLANTS Gerbera Plant  (Hybrid, Pack of 1)"/>
        <s v="Cloud Farm Golden Champa Plant  (Hybrid, Pack of 1)"/>
        <s v="LaughEarth Ficus Bonsai  (Hybrid, Pack of 1)"/>
        <s v="ABEFARIYA Mogra Flowering Plant, Jasmine Plant  (Hybrid, Pack of 1)"/>
        <s v="JASSI FLORA Three Layer Bamboo Plant  (Hybrid, Pack of 1)"/>
        <s v="Oxygreenplant Elaichi/Cardamom Plant  (Hybrid, Pack of 1)"/>
        <s v="Farmplants Kalanchoe Plant  (Hybrid, Pack of 1)"/>
        <s v="EVY Kiwi Plant  (Hybrid, Pack of 1)"/>
        <s v="varnicrea Mini Brazalian wood  (Pack of 1)"/>
        <s v="Wavingleaf Jade Plant  (Pack of 1)"/>
        <s v="rimardmistu Strawberry Plant  (Hybrid, Pack of 1)"/>
        <s v="RADHE SALES Mini Brazalian wood  (Pack of 1)"/>
        <s v="Growerstore Madhu Kamini Plant  (Hybrid, Pack of 1)"/>
        <s v="PB honey priya plant Grapes Plant  (Hybrid, Pack of 1)"/>
        <s v="My Dream Nursery Two Layer Bamboo Plant  (Hybrid, Pack of 1)"/>
        <s v="Unisam Bel patra plant Pot Bel Plant  (Hybrid, Pack of 1)"/>
        <s v="AloGardening Chrysanthemums/ Guldavari Plant  (Hybrid, Pack of 1)"/>
        <s v="PLANTTOOZS Ficus Bonsai  (Hybrid, Pack of 1)"/>
        <s v="greenhousestore Strawberry Plant  (Hybrid, Pack of 2)"/>
        <s v="RoyalTree Rose Plant  (Hybrid, Pack of 1)"/>
        <s v="UGAOO Haworthia Cactus  (Pack of 1)"/>
        <s v="TECNOFEX Money Plant, Bamboo Palm Plant, Lucky Bamboo Straight Stick  (Hybrid, Pack of 1)"/>
        <s v="Majumder Enterprise Bougainvillea Plant  (Hybrid, Pack of 1)"/>
        <s v="BRAZILIAN WOOD TREE Mini Brazalian wood  (Pack of 1)"/>
        <s v="EVY Ashwagandha/Indian Ginseng  (Hybrid, Pack of 1)"/>
        <s v="LaughEarth Areca Palm  (Hybrid, Pack of 1)"/>
        <s v="PlantsHub Peace Lily Plant  (Hybrid, Pack of 1)"/>
        <s v="FSK Aparajita/ Butterfly Pea Plant  (Hybrid, Pack of 2)"/>
        <s v="greenhousestore Ber Apple Plant  (Hybrid, Pack of 1)"/>
        <s v="FSK Rose Plant  (Hybrid, Pack of 1)"/>
        <s v="Cloud Farm Baugainvillea Plant  (Hybrid, Pack of 1)"/>
        <s v="ToGon Rose Plant  (Hybrid, Pack of 4)"/>
        <s v="greenhousestore Areca Palm  (Hybrid, Pack of 1)"/>
        <s v="AloGardening Christmas Tree Plant  (Hybrid, Pack of 1)"/>
        <s v="Krishna All Time Grafted Mango Plant  (Hybrid, Pack of 1)"/>
        <s v="greenhousestore Bougainvillea Plant  (Hybrid, Pack of 1)"/>
        <s v="UGAOO Golden Money Plant  (Pack of 1)"/>
        <s v="GLOBQRO Grape Plant  (Hybrid, Pack of 1)"/>
        <s v="AquinnahGaden Baugainvillea Plant  (Hybrid, Pack of 1)"/>
        <s v="FSK China Palm Plant  (Hybrid, Pack of 1)"/>
        <s v="UGAOO Chlorophytum Spider Plant  (Pack of 1)"/>
        <s v="Risenshine Jade Plant  (Hybrid, Pack of 1)"/>
        <s v="Samarthgreens Tuberose/Rajnigandha Plant  (Hybrid, Pack of 1)"/>
        <s v="greenhousestore Litchi Plant  (Hybrid, Pack of 1)"/>
        <s v="Cloud Farm Areca Plam  (Pack of 1)"/>
        <s v="EarthAngel Neem Plant  (Hybrid, Pack of 1)"/>
        <s v="Agriclons and nusary Bryophyllum Pinnatum/Patharchatta Plant  (Hybrid, Pack of 1)"/>
        <s v="PLANTTOOZS Elaichi/Cardamom Plant  (Hybrid, Pack of 1)"/>
        <s v="Laxmi kamal plant Laxmi Kamal Plant  (Hybrid, Pack of 2)"/>
        <s v="LaughEarth Peace Lily Plant  (Hybrid, Pack of 1)"/>
        <s v="MIDNIGHT MORNING Rose Plant  (Hybrid, Pack of 1)"/>
        <s v="Tigress Tulsi Plant  (Hybrid, Pack of 1)"/>
        <s v="MAHAMAYA A TO Z Water Pennywort  (Pack of 2)"/>
        <s v="Axotic Diamond Grafted Apple Plant  (Hybrid, Pack of 1)"/>
        <s v="Global Mart Plant Bougainvillea Plant  (Hybrid, Pack of 1)"/>
        <s v="Risenshine Bryophyllum Pinnatum/Patharchatta Plant  (Pack of 1)"/>
        <s v="bhowmick Areca Palm  (Hybrid, Pack of 1)"/>
        <s v="HARIGURU All Spice Plant  (Pack of 1)"/>
        <s v="AloGardening Adenium Plant  (Hybrid, Pack of 2)"/>
        <s v="Mohomaya Sweet Lemon Plant  (Hybrid, Pack of 1)"/>
        <s v="bhowmick Baugainvillea Plant  (Hybrid, Pack of 1)"/>
        <s v="My Dream Nursery Black Pepper Plant  (Hybrid, Pack of 1)"/>
        <s v="RudraECOM Hibiscus Plant  (Hybrid, Pack of 1)"/>
        <s v="MAHAMAYA A TO Z Mimosa pudica Plant  (Hybrid, Pack of 1)"/>
        <s v="Aquinnah Almond Plant  (Hybrid, Pack of 1)"/>
        <s v="Heaven Of Saplings Areca Palm  (Hybrid, Pack of 1)"/>
        <s v="SKDIYA Cherry Fruit Plant  (Hybrid, Pack of 1)"/>
        <s v="ZOOMGREEN Areca Palm  (Pack of 1)"/>
        <s v="ADA Shami/Jand Plant  (Pack of 1)"/>
        <s v="PlantsBazaar Rubber Tree  (Pack of 1)"/>
        <s v="SANJU Strawberry Plant  (Hybrid, Pack of 1)"/>
        <s v="Aquinnah Graden Pistachio Plant  (Hybrid, Pack of 1)"/>
        <s v="sspykrts Clove Plant  (Hybrid, Pack of 3)"/>
        <s v="PLANTTOOZS Red Sandalwood Plant  (Pack of 1)"/>
        <s v="Cloud Farm Grapes Plant  (Hybrid, Pack of 2)"/>
        <s v="Global Mart Plant Cannon Ball Tree Plant  (Hybrid, Pack of 1)"/>
        <s v="Ukaanda Money Plant  (Pack of 1)"/>
        <s v="Cloud Farm Money Plant  (Hybrid, Pack of 1)"/>
        <s v="Phoolistan Ficus Plant  (Hybrid, Pack of 1)"/>
        <s v="UGAOO Golden Sedum Plant  (Pack of 1)"/>
        <s v="GLOBQRO Begonia Vanusta Plant  (Hybrid, Pack of 1)"/>
        <s v="greengrow Shami/Jand Plant  (Pack of 1)"/>
        <s v="AloGardening Basmati Plant  (Hybrid, Pack of 1)"/>
        <s v="Cloud Farm Bougainvillea Plant  (Hybrid, Pack of 1)"/>
        <s v="YourPlant Adenium Plant  (Hybrid, Pack of 2)"/>
        <s v="PLANTGENIC NATURE White Sandalwood Plant  (Hybrid, Pack of 1)"/>
        <s v="GreenHorizon Bryophyllum Pinnatum/Patharchatta Plant  (Pack of 1)"/>
        <s v="Cloud Farm Coconut Plant  (Hybrid, Pack of 1)"/>
        <s v="ibains Mini Brazalian wood  (Hybrid, Pack of 1)"/>
        <s v="Natural needs Adenium Plant  (Hybrid, Pack of 1)"/>
        <s v="LaughEarth Bougainvillea Plant  (Hybrid, Pack of 1)"/>
        <s v="LaughEarth Hibiscus Plant  (Hybrid, Pack of 1)"/>
        <s v="LivePlant Money Plant  (Hybrid, Pack of 1)"/>
        <s v="Leafyjoy Brazilian Wood  (Pack of 1)"/>
        <s v="greenhousestore Orange Plant  (Hybrid, Pack of 1)"/>
        <s v="Cloud Farm Dragon Tree  (Hybrid, Pack of 5)"/>
        <s v="KAVARI ENTERPRISE Rose Plant  (Hybrid, Pack of 1)"/>
        <s v="greenhousestore Adenium Plant  (Hybrid, Pack of 1)"/>
        <s v="Cloud Farm Betel Leaf Plant  (Hybrid, Pack of 1)"/>
        <s v="Risenshine Adenium Plant  (Hybrid, Pack of 1)"/>
        <s v="TAWZIX Money Plant  (Hybrid, Pack of 1)"/>
        <s v="EarthAngel Snake Plant  (Hybrid, Pack of 1)"/>
        <s v="Aziz Gazi Nursery Dragon Tree  (Hybrid, Pack of 1)"/>
        <s v="Medhi Snake Plant  (Hybrid, Pack of 1)"/>
        <s v="greenhousestore Ficus Bonsai  (Hybrid, Pack of 1)"/>
        <s v="AGRAWBIC Two Layer Bamboo Plant  (Hybrid, Pack of 1)"/>
        <s v="Broken heart plant Broken Heart Plant  (Pack of 1)"/>
        <s v="Plant Paradise Rudraksha Plant  (Hybrid, Pack of 1)"/>
        <s v="Gardanglow Marsh Barbel Plant  (Hybrid, Pack of 1)"/>
        <s v="greenhousestore Baugainvillea Plant  (Hybrid, Pack of 1)"/>
        <s v="Flora Solutions Money Plant  (Hybrid, Pack of 2)"/>
        <s v="HouseOfCommon Orange Plant  (Hybrid, Pack of 1)"/>
        <s v="PB honey priya plant Bottle Gourd  (Hybrid, Pack of 35)"/>
        <s v="Oxygreenplant Shahtoot/Mulberry Plant  (Hybrid, Pack of 1)"/>
        <s v="Ukanda Canna Lily Plant  (Hybrid, Pack of 1)"/>
        <s v="LaughEarth Hibiscus Plant  (Hybrid, Pack of 3)"/>
        <s v="greenhousestore Mint Plant  (Hybrid, Pack of 1)"/>
        <s v="GREENSEE Orchid Plant  (Hybrid, Pack of 4)"/>
        <s v="Cloud Farm Betal Leaf Plant  (Hybrid, Pack of 1)"/>
        <s v="Aquinnah Betel Leaf Plant  (Hybrid, Pack of 1)"/>
        <s v="THE BHOWMICK Mango Plant  (Hybrid, Pack of 1)"/>
        <s v="K.K.Enterprise Lemon Plant  (Hybrid, Pack of 1)"/>
        <s v="Zomoloco Adenium Plant  (Hybrid, Pack of 1)"/>
        <s v="Gaingreen Chiku Plant  (Hybrid, Pack of 1)"/>
        <s v="Kyari Money Plant  (Pack of 1)"/>
        <s v="saraswati traders ZZ Plant  (Hybrid, Pack of 1)"/>
        <s v="GROSSAMER Lotus Plant, Syngonium Bronze Maria Plant  (Pack of 40)"/>
        <s v="PlantShop Orange Plant  (Hybrid, Pack of 1)"/>
        <s v="Grinian Aloe Vera Plant  (Hybrid, Pack of 1)"/>
        <s v="greenhousestore Avocado Plant  (Hybrid, Pack of 1)"/>
        <s v="FSK Hibiscus Plant  (Hybrid, Pack of 1)"/>
        <s v="Tha live root vishnu kamal Furkeria Succulent Plant  (Hybrid, Pack of 1)"/>
        <s v="greenhousestore Rose Plant  (Hybrid, Pack of 3)"/>
        <s v="AloGardening Serissa Hedge Plant  (Hybrid, Pack of 1)"/>
        <s v="My Dream Nursery Kiwi Plant  (Hybrid, Pack of 1)"/>
        <s v="greenhousestore Chiku Plant  (Hybrid, Pack of 1)"/>
        <s v="NiMoj Two Layer Bamboo Plant, Lucky Bamboo Straight Stick, Veld Grape Plant  (Hybrid, Pack of 1)"/>
        <s v="ATIKNAM Mini Brazalian wood  (Hybrid, Pack of 1)"/>
        <s v="L BRAZILIAN LUCKY WOOD PLANT Basil Plant  (Hybrid, Pack of 1)"/>
        <s v="greenhousestore Kiwi Plant  (Hybrid, Pack of 1)"/>
        <s v="UGAOO Christmas Cactus Plant  (Pack of 1)"/>
        <s v="GeenLk Golden Money Plant  (Hybrid, Pack of 1)"/>
        <s v="Elanthalir Table Palm Plant  (Hybrid, Pack of 1)"/>
        <s v="Samarthgreens Strawberry Plant  (Hybrid, Pack of 1)"/>
        <s v="UGAOO Golden Aralia Plant  (Pack of 1)"/>
        <s v="UGAOO Two Layer Bamboo Plant  (Pack of 1)"/>
        <s v="EVY Tuberose/Rajnigandha Plant  (Hybrid, Pack of 1)"/>
        <s v="LaughEarth Parijat/Harsingar Plant  (Hybrid, Pack of 1)"/>
        <s v="Unisam Laxmi Lakshmi Kamal Laxmi Kamal Plant  (Hybrid, Pack of 1)"/>
        <s v="Heaven Of Saplings Bacopa Monnieri  (Hybrid, Pack of 1)"/>
        <s v="Cloud Farm Hibiscus Plant  (Hybrid, Pack of 4)"/>
        <s v="AloGardening Dragon Tree  (Hybrid, Pack of 3)"/>
        <s v="HARIGURU All Spice Plant  (Hybrid, Pack of 1)"/>
        <s v="UGAOO Njoy Money Plant  (Pack of 1)"/>
        <s v="UGAOO Snake Plant  (Pack of 1)"/>
        <s v="UGAOO Syngonium Plant  (Pack of 1)"/>
        <s v="UGAOO Broken Heart Plant  (Pack of 1)"/>
        <s v="UGAOO Jade Plant  (Pack of 1)"/>
        <s v="GIRISHA TRADERS Two Layer Bamboo Plant, Lucky Bamboo Straight Stick, Dracaena Plant  (Pack of 1)"/>
        <s v="UGAOO Peace Lily Plant  (Pack of 1)"/>
      </sharedItems>
    </cacheField>
    <cacheField name="original price" numFmtId="1">
      <sharedItems containsSemiMixedTypes="0" containsString="0" containsNumber="1" containsInteger="1" minValue="153" maxValue="1500"/>
    </cacheField>
    <cacheField name="special price" numFmtId="2">
      <sharedItems containsSemiMixedTypes="0" containsString="0" containsNumber="1" containsInteger="1" minValue="109" maxValue="258"/>
    </cacheField>
    <cacheField name="discount" numFmtId="9">
      <sharedItems containsSemiMixedTypes="0" containsString="0" containsNumber="1" minValue="0.16" maxValue="0.91"/>
    </cacheField>
    <cacheField name="plant size" numFmtId="49">
      <sharedItems count="3">
        <s v="Medium"/>
        <s v="Small"/>
        <s v="Large"/>
      </sharedItems>
    </cacheField>
    <cacheField name="plant size2" numFmtId="49">
      <sharedItems containsMixedTypes="1" containsNumber="1" containsInteger="1" minValue="1" maxValue="3"/>
    </cacheField>
    <cacheField name="return policy" numFmtId="49">
      <sharedItems count="1">
        <s v="No Returns Allowed?"/>
      </sharedItems>
    </cacheField>
    <cacheField name="type" numFmtId="49">
      <sharedItems count="12">
        <s v="Foliage"/>
        <s v="Fruit"/>
        <s v="Flower"/>
        <s v="Herb"/>
        <s v="Air purifier plant"/>
        <s v="Succulent"/>
        <s v="Bonsai"/>
        <s v="Shrub"/>
        <s v="Bamboo"/>
        <s v="Tree"/>
        <s v="Vegetable"/>
        <s v="Creepers and Climbers"/>
      </sharedItems>
    </cacheField>
    <cacheField name="life cycle" numFmtId="49">
      <sharedItems count="3">
        <s v="Perennial"/>
        <s v="Annual"/>
        <s v="Biennial"/>
      </sharedItems>
    </cacheField>
    <cacheField name="location" numFmtId="49">
      <sharedItems/>
    </cacheField>
    <cacheField name="feng shui" numFmtId="49">
      <sharedItems count="2">
        <s v="No"/>
        <s v="Yes"/>
      </sharedItems>
    </cacheField>
    <cacheField name="plant age" numFmtId="49">
      <sharedItems/>
    </cacheField>
    <cacheField name="hybride" numFmtId="49">
      <sharedItems/>
    </cacheField>
    <cacheField name="brand" numFmtId="49">
      <sharedItems count="141">
        <s v="Pottplants"/>
        <s v="greenhousestore"/>
        <s v="Roy's Fashoin"/>
        <s v="FURYHUB"/>
        <s v="Global Mart Plant"/>
        <s v="Aquinnah Graden"/>
        <s v="Cloud Farm"/>
        <s v="FSK"/>
        <s v="AloGardening"/>
        <s v="Mrplant"/>
        <s v="pagoda point"/>
        <s v="LaughEarth"/>
        <s v="Ariya"/>
        <s v="PlantsEarth"/>
        <s v="Bijaya Online Store"/>
        <s v="ibains"/>
        <s v="Ukanda"/>
        <s v="EVY"/>
        <s v="GreenHorizon"/>
        <s v="Corofitam"/>
        <s v="Augadh"/>
        <s v="natikrd"/>
        <s v="PETALFLEUR"/>
        <s v="Tribute"/>
        <s v="HARIGURU"/>
        <s v="PLANTTOOZS"/>
        <s v="ZOOMGREEN"/>
        <s v="Linaa"/>
        <s v="AquinnahGaden"/>
        <s v="MAITRA AND SONS"/>
        <s v="HIGH TECH FARM"/>
        <s v="Grinian"/>
        <s v="GHF"/>
        <s v="MircleGarden"/>
        <s v="rimardmistu"/>
        <s v="greengrow"/>
        <s v="PB honey priya plant"/>
        <s v="Kyari"/>
        <s v="Click to purchase"/>
        <s v="FasanGreen"/>
        <s v="PlantsMart"/>
        <s v="Skrhuvoy"/>
        <s v="Gereen View"/>
        <s v="BALA PLANT CREATION"/>
        <s v="ARYAN EVERGREEN"/>
        <s v="ADITYA GREEN PLANTS AGP"/>
        <s v="GreenGrowth"/>
        <s v="Royplant"/>
        <s v="GREENELAND"/>
        <s v="Click to buy"/>
        <s v="EarthAngel"/>
        <s v="KUMUBON"/>
        <s v="PB HONEY PRIYA PLaNTS"/>
        <s v="jarr"/>
        <s v="Samarthgreens"/>
        <s v="PEDPOUDHE"/>
        <s v="E-GARDEN"/>
        <s v="Zomoloco"/>
        <s v="GaiaStore"/>
        <s v="Gabbro"/>
        <s v="Rm live plant"/>
        <s v="Vijay Sales"/>
        <s v="Tha live root Laxmi kamal"/>
        <s v="sealok"/>
        <s v="ABEFARIYA"/>
        <s v="Marinetree"/>
        <s v="K,M.GREEN"/>
        <s v="ADA"/>
        <s v="Aquinnah"/>
        <s v="EliteGreen"/>
        <s v="Nature House"/>
        <s v="NATURE WISE YOU"/>
        <s v="Heaven Of Saplings"/>
        <s v="PEEPALSFARM"/>
        <s v="Durga Green Garden"/>
        <s v="minatigreenhouse"/>
        <s v="LivePlant"/>
        <s v="Oxygreenplant"/>
        <s v="JD DAS AND SONS PLANTS"/>
        <s v="JASSI FLORA"/>
        <s v="Farmplants"/>
        <s v="varnicrea"/>
        <s v="Wavingleaf"/>
        <s v="RADHE SALES"/>
        <s v="Growerstore"/>
        <s v="My Dream Nursery"/>
        <s v="Unisam Bel patra plant Pot"/>
        <s v="RoyalTree"/>
        <s v="UGAOO"/>
        <s v="TECNOFEX"/>
        <s v="Majumder Enterprise"/>
        <s v="BRAZILIAN WOOD TREE"/>
        <s v="PlantsHub"/>
        <s v="ToGon"/>
        <s v="Krishna All Time Grafted"/>
        <s v="GLOBQRO"/>
        <s v="Risenshine"/>
        <s v="Agriclons and nusary"/>
        <s v="Laxmi kamal plant"/>
        <s v="MIDNIGHT MORNING"/>
        <s v="Tigress"/>
        <s v="MAHAMAYA A TO Z"/>
        <s v="Axotic Diamond Grafted"/>
        <s v="bhowmick"/>
        <s v="Mohomaya"/>
        <s v="RudraECOM"/>
        <s v="SKDIYA"/>
        <s v="PlantsBazaar"/>
        <s v="SANJU"/>
        <s v="sspykrts"/>
        <s v="Ukaanda"/>
        <s v="Phoolistan"/>
        <s v="YourPlant"/>
        <s v="PLANTGENIC NATURE"/>
        <s v="Natural needs"/>
        <s v="Leafyjoy"/>
        <s v="KAVARI ENTERPRISE"/>
        <s v="TAWZIX"/>
        <s v="Aziz Gazi Nursery"/>
        <s v="Medhi"/>
        <s v="AGRAWBIC"/>
        <s v="Broken heart plant"/>
        <s v="Plant Paradise"/>
        <s v="Gardanglow"/>
        <s v="Flora Solutions"/>
        <s v="HouseOfCommon"/>
        <s v="GREENSEE"/>
        <s v="THE BHOWMICK"/>
        <s v="K.K.Enterprise"/>
        <s v="Gaingreen"/>
        <s v="saraswati traders"/>
        <s v="GROSSAMER"/>
        <s v="PlantShop"/>
        <s v="Tha live root vishnu kamal"/>
        <s v="NiMoj"/>
        <s v="ATIKNAM"/>
        <s v="L BRAZILIAN LUCKY WOOD PLANT"/>
        <s v="GeenLk"/>
        <s v="Elanthalir"/>
        <s v="Unisam Laxmi Lakshmi Kamal"/>
        <s v="GIRISHA TRADERS"/>
      </sharedItems>
    </cacheField>
  </cacheFields>
  <extLst>
    <ext xmlns:x14="http://schemas.microsoft.com/office/spreadsheetml/2009/9/main" uri="{725AE2AE-9491-48be-B2B4-4EB974FC3084}">
      <x14:pivotCacheDefinition pivotCacheId="981647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1">
  <r>
    <x v="0"/>
    <x v="0"/>
    <n v="499"/>
    <n v="199"/>
    <n v="0.6"/>
    <x v="0"/>
    <n v="2"/>
    <x v="0"/>
    <x v="0"/>
    <x v="0"/>
    <s v="Indoor"/>
    <x v="0"/>
    <s v="2 Year"/>
    <s v="No"/>
    <x v="0"/>
  </r>
  <r>
    <x v="1"/>
    <x v="1"/>
    <n v="599"/>
    <n v="130"/>
    <n v="0.78"/>
    <x v="1"/>
    <n v="1"/>
    <x v="0"/>
    <x v="1"/>
    <x v="1"/>
    <s v="Both"/>
    <x v="1"/>
    <s v="2 Year"/>
    <s v="Yes"/>
    <x v="1"/>
  </r>
  <r>
    <x v="2"/>
    <x v="2"/>
    <n v="499"/>
    <n v="249"/>
    <n v="0.5"/>
    <x v="0"/>
    <n v="2"/>
    <x v="0"/>
    <x v="2"/>
    <x v="0"/>
    <s v="Both"/>
    <x v="0"/>
    <s v="2 Year"/>
    <s v="Yes"/>
    <x v="2"/>
  </r>
  <r>
    <x v="3"/>
    <x v="3"/>
    <n v="399"/>
    <n v="120"/>
    <n v="0.69"/>
    <x v="1"/>
    <n v="1"/>
    <x v="0"/>
    <x v="1"/>
    <x v="1"/>
    <s v="Both"/>
    <x v="0"/>
    <s v="2 Year"/>
    <s v="Yes"/>
    <x v="3"/>
  </r>
  <r>
    <x v="4"/>
    <x v="4"/>
    <n v="398"/>
    <n v="124"/>
    <n v="0.68"/>
    <x v="1"/>
    <n v="1"/>
    <x v="0"/>
    <x v="1"/>
    <x v="0"/>
    <s v="Both"/>
    <x v="0"/>
    <s v="2 Year"/>
    <s v="Yes"/>
    <x v="4"/>
  </r>
  <r>
    <x v="5"/>
    <x v="5"/>
    <n v="599"/>
    <n v="120"/>
    <n v="0.79"/>
    <x v="1"/>
    <n v="1"/>
    <x v="0"/>
    <x v="1"/>
    <x v="1"/>
    <s v="Both"/>
    <x v="1"/>
    <s v="2 Year"/>
    <s v="Yes"/>
    <x v="1"/>
  </r>
  <r>
    <x v="6"/>
    <x v="6"/>
    <n v="489"/>
    <n v="125"/>
    <n v="0.74"/>
    <x v="1"/>
    <n v="1"/>
    <x v="0"/>
    <x v="3"/>
    <x v="1"/>
    <s v="Both"/>
    <x v="1"/>
    <s v="2 Year"/>
    <s v="Yes"/>
    <x v="5"/>
  </r>
  <r>
    <x v="7"/>
    <x v="7"/>
    <n v="499"/>
    <n v="135"/>
    <n v="0.72"/>
    <x v="1"/>
    <n v="1"/>
    <x v="0"/>
    <x v="2"/>
    <x v="0"/>
    <s v="Both"/>
    <x v="0"/>
    <s v="1 Year"/>
    <s v="Yes"/>
    <x v="6"/>
  </r>
  <r>
    <x v="8"/>
    <x v="8"/>
    <n v="499"/>
    <n v="121"/>
    <n v="0.75"/>
    <x v="0"/>
    <n v="2"/>
    <x v="0"/>
    <x v="1"/>
    <x v="0"/>
    <s v="Both"/>
    <x v="0"/>
    <s v="0.5 Year"/>
    <s v="Yes"/>
    <x v="7"/>
  </r>
  <r>
    <x v="9"/>
    <x v="9"/>
    <n v="499"/>
    <n v="125"/>
    <n v="0.74"/>
    <x v="1"/>
    <n v="1"/>
    <x v="0"/>
    <x v="1"/>
    <x v="1"/>
    <s v="Both"/>
    <x v="0"/>
    <s v="1 Year"/>
    <s v="Yes"/>
    <x v="6"/>
  </r>
  <r>
    <x v="10"/>
    <x v="10"/>
    <n v="299"/>
    <n v="130"/>
    <n v="0.56000000000000005"/>
    <x v="1"/>
    <n v="1"/>
    <x v="0"/>
    <x v="1"/>
    <x v="0"/>
    <s v="Both"/>
    <x v="0"/>
    <s v="1 Year"/>
    <s v="Yes"/>
    <x v="8"/>
  </r>
  <r>
    <x v="11"/>
    <x v="11"/>
    <n v="499"/>
    <n v="128"/>
    <n v="0.74"/>
    <x v="1"/>
    <n v="1"/>
    <x v="0"/>
    <x v="4"/>
    <x v="1"/>
    <s v="Indoor"/>
    <x v="0"/>
    <s v="3 Year"/>
    <s v="No"/>
    <x v="9"/>
  </r>
  <r>
    <x v="12"/>
    <x v="12"/>
    <n v="405"/>
    <n v="130"/>
    <n v="0.67"/>
    <x v="1"/>
    <n v="1"/>
    <x v="0"/>
    <x v="5"/>
    <x v="1"/>
    <s v="Both"/>
    <x v="1"/>
    <s v="50 Year"/>
    <s v="Yes"/>
    <x v="10"/>
  </r>
  <r>
    <x v="13"/>
    <x v="13"/>
    <n v="499"/>
    <n v="140"/>
    <n v="0.71"/>
    <x v="1"/>
    <n v="1"/>
    <x v="0"/>
    <x v="5"/>
    <x v="1"/>
    <s v="Both"/>
    <x v="1"/>
    <s v="15 Year"/>
    <s v="Yes"/>
    <x v="11"/>
  </r>
  <r>
    <x v="14"/>
    <x v="14"/>
    <n v="799"/>
    <n v="126"/>
    <n v="0.84"/>
    <x v="0"/>
    <n v="2"/>
    <x v="0"/>
    <x v="1"/>
    <x v="0"/>
    <s v="Outdoor"/>
    <x v="0"/>
    <s v="2 Year"/>
    <s v="Yes"/>
    <x v="12"/>
  </r>
  <r>
    <x v="15"/>
    <x v="15"/>
    <n v="422"/>
    <n v="120"/>
    <n v="0.71"/>
    <x v="1"/>
    <n v="1"/>
    <x v="0"/>
    <x v="2"/>
    <x v="0"/>
    <s v="Both"/>
    <x v="0"/>
    <s v="1 Year"/>
    <s v="Yes"/>
    <x v="13"/>
  </r>
  <r>
    <x v="16"/>
    <x v="16"/>
    <n v="449"/>
    <n v="179"/>
    <n v="0.6"/>
    <x v="1"/>
    <n v="1"/>
    <x v="0"/>
    <x v="4"/>
    <x v="0"/>
    <s v="Both"/>
    <x v="0"/>
    <s v="0.8 Year"/>
    <s v="Yes"/>
    <x v="14"/>
  </r>
  <r>
    <x v="17"/>
    <x v="17"/>
    <n v="399"/>
    <n v="186"/>
    <n v="0.53"/>
    <x v="0"/>
    <n v="2"/>
    <x v="0"/>
    <x v="6"/>
    <x v="0"/>
    <s v="Indoor"/>
    <x v="1"/>
    <s v="1 Year"/>
    <s v="Yes"/>
    <x v="15"/>
  </r>
  <r>
    <x v="18"/>
    <x v="18"/>
    <n v="399"/>
    <n v="185"/>
    <n v="0.53"/>
    <x v="1"/>
    <n v="1"/>
    <x v="0"/>
    <x v="1"/>
    <x v="0"/>
    <s v="Both"/>
    <x v="0"/>
    <s v="1 Year"/>
    <s v="Yes"/>
    <x v="8"/>
  </r>
  <r>
    <x v="19"/>
    <x v="19"/>
    <n v="399"/>
    <n v="160"/>
    <n v="0.59"/>
    <x v="1"/>
    <n v="1"/>
    <x v="0"/>
    <x v="1"/>
    <x v="1"/>
    <s v="Both"/>
    <x v="0"/>
    <s v="1 Year"/>
    <s v="Yes"/>
    <x v="8"/>
  </r>
  <r>
    <x v="20"/>
    <x v="20"/>
    <n v="399"/>
    <n v="119"/>
    <n v="0.7"/>
    <x v="1"/>
    <n v="1"/>
    <x v="0"/>
    <x v="2"/>
    <x v="1"/>
    <s v="Both"/>
    <x v="1"/>
    <s v="0.5 Year"/>
    <s v="Yes"/>
    <x v="16"/>
  </r>
  <r>
    <x v="21"/>
    <x v="21"/>
    <n v="235"/>
    <n v="139"/>
    <n v="0.4"/>
    <x v="1"/>
    <n v="1"/>
    <x v="0"/>
    <x v="1"/>
    <x v="0"/>
    <s v="Both"/>
    <x v="0"/>
    <s v="0.2 Year"/>
    <s v="Yes"/>
    <x v="8"/>
  </r>
  <r>
    <x v="22"/>
    <x v="22"/>
    <n v="299"/>
    <n v="118"/>
    <n v="0.6"/>
    <x v="1"/>
    <n v="1"/>
    <x v="0"/>
    <x v="3"/>
    <x v="1"/>
    <s v="Both"/>
    <x v="0"/>
    <s v="2 Year"/>
    <s v="Yes"/>
    <x v="17"/>
  </r>
  <r>
    <x v="23"/>
    <x v="23"/>
    <n v="599"/>
    <n v="149"/>
    <n v="0.75"/>
    <x v="1"/>
    <n v="1"/>
    <x v="0"/>
    <x v="2"/>
    <x v="1"/>
    <s v="Both"/>
    <x v="1"/>
    <s v="2 Year"/>
    <s v="Yes"/>
    <x v="1"/>
  </r>
  <r>
    <x v="24"/>
    <x v="24"/>
    <n v="663"/>
    <n v="118"/>
    <n v="0.82"/>
    <x v="1"/>
    <n v="1"/>
    <x v="0"/>
    <x v="1"/>
    <x v="0"/>
    <s v="Both"/>
    <x v="0"/>
    <s v="0.3 Year"/>
    <s v="Yes"/>
    <x v="18"/>
  </r>
  <r>
    <x v="25"/>
    <x v="25"/>
    <n v="399"/>
    <n v="123"/>
    <n v="0.69"/>
    <x v="1"/>
    <n v="1"/>
    <x v="0"/>
    <x v="1"/>
    <x v="0"/>
    <s v="Both"/>
    <x v="1"/>
    <s v="1 Year"/>
    <s v="Yes"/>
    <x v="19"/>
  </r>
  <r>
    <x v="26"/>
    <x v="26"/>
    <n v="349"/>
    <n v="126"/>
    <n v="0.63"/>
    <x v="1"/>
    <n v="1"/>
    <x v="0"/>
    <x v="3"/>
    <x v="0"/>
    <s v="Both"/>
    <x v="1"/>
    <s v="0.5 Year"/>
    <s v="Yes"/>
    <x v="16"/>
  </r>
  <r>
    <x v="27"/>
    <x v="27"/>
    <n v="499"/>
    <n v="121"/>
    <n v="0.75"/>
    <x v="0"/>
    <n v="2"/>
    <x v="0"/>
    <x v="3"/>
    <x v="0"/>
    <s v="Both"/>
    <x v="0"/>
    <s v="1 Year"/>
    <s v="Yes"/>
    <x v="6"/>
  </r>
  <r>
    <x v="28"/>
    <x v="28"/>
    <n v="299"/>
    <n v="115"/>
    <n v="0.61"/>
    <x v="0"/>
    <n v="2"/>
    <x v="0"/>
    <x v="1"/>
    <x v="0"/>
    <s v="Both"/>
    <x v="0"/>
    <s v="2 Year"/>
    <s v="Yes"/>
    <x v="20"/>
  </r>
  <r>
    <x v="29"/>
    <x v="29"/>
    <n v="499"/>
    <n v="140"/>
    <n v="0.71"/>
    <x v="1"/>
    <n v="1"/>
    <x v="0"/>
    <x v="2"/>
    <x v="0"/>
    <s v="Both"/>
    <x v="0"/>
    <s v="2 Year"/>
    <s v="Yes"/>
    <x v="21"/>
  </r>
  <r>
    <x v="30"/>
    <x v="30"/>
    <n v="399"/>
    <n v="140"/>
    <n v="0.64"/>
    <x v="1"/>
    <n v="1"/>
    <x v="0"/>
    <x v="2"/>
    <x v="0"/>
    <s v="Both"/>
    <x v="0"/>
    <s v="1 Year"/>
    <s v="Yes"/>
    <x v="22"/>
  </r>
  <r>
    <x v="31"/>
    <x v="31"/>
    <n v="489"/>
    <n v="140"/>
    <n v="0.71"/>
    <x v="1"/>
    <n v="1"/>
    <x v="0"/>
    <x v="3"/>
    <x v="0"/>
    <s v="Both"/>
    <x v="0"/>
    <s v="5 Year"/>
    <s v="No"/>
    <x v="23"/>
  </r>
  <r>
    <x v="32"/>
    <x v="32"/>
    <n v="599"/>
    <n v="123"/>
    <n v="0.79"/>
    <x v="1"/>
    <n v="1"/>
    <x v="0"/>
    <x v="5"/>
    <x v="1"/>
    <s v="Both"/>
    <x v="1"/>
    <s v="2 Year"/>
    <s v="Yes"/>
    <x v="1"/>
  </r>
  <r>
    <x v="33"/>
    <x v="33"/>
    <n v="549"/>
    <n v="127"/>
    <n v="0.76"/>
    <x v="1"/>
    <n v="1"/>
    <x v="0"/>
    <x v="2"/>
    <x v="1"/>
    <s v="Both"/>
    <x v="1"/>
    <s v="2 Year"/>
    <s v="Yes"/>
    <x v="1"/>
  </r>
  <r>
    <x v="34"/>
    <x v="34"/>
    <n v="299"/>
    <n v="180"/>
    <n v="0.39"/>
    <x v="0"/>
    <n v="2"/>
    <x v="0"/>
    <x v="2"/>
    <x v="2"/>
    <s v="Both"/>
    <x v="1"/>
    <s v="0.5 Year"/>
    <s v="Yes"/>
    <x v="24"/>
  </r>
  <r>
    <x v="35"/>
    <x v="35"/>
    <n v="399"/>
    <n v="130"/>
    <n v="0.67"/>
    <x v="1"/>
    <n v="1"/>
    <x v="0"/>
    <x v="5"/>
    <x v="1"/>
    <s v="Both"/>
    <x v="1"/>
    <s v="2 Year"/>
    <s v="Yes"/>
    <x v="25"/>
  </r>
  <r>
    <x v="36"/>
    <x v="36"/>
    <n v="499"/>
    <n v="258"/>
    <n v="0.48"/>
    <x v="0"/>
    <n v="2"/>
    <x v="0"/>
    <x v="4"/>
    <x v="1"/>
    <s v="Indoor"/>
    <x v="0"/>
    <s v="1 Year"/>
    <s v="Yes"/>
    <x v="26"/>
  </r>
  <r>
    <x v="37"/>
    <x v="37"/>
    <n v="599"/>
    <n v="125"/>
    <n v="0.79"/>
    <x v="1"/>
    <n v="1"/>
    <x v="0"/>
    <x v="1"/>
    <x v="1"/>
    <s v="Both"/>
    <x v="1"/>
    <s v="2 Year"/>
    <s v="Yes"/>
    <x v="1"/>
  </r>
  <r>
    <x v="38"/>
    <x v="38"/>
    <n v="999"/>
    <n v="125"/>
    <n v="0.87"/>
    <x v="1"/>
    <n v="1"/>
    <x v="0"/>
    <x v="6"/>
    <x v="1"/>
    <s v="Both"/>
    <x v="1"/>
    <s v="2 Year"/>
    <s v="Yes"/>
    <x v="27"/>
  </r>
  <r>
    <x v="39"/>
    <x v="36"/>
    <n v="499"/>
    <n v="258"/>
    <n v="0.48"/>
    <x v="0"/>
    <n v="2"/>
    <x v="0"/>
    <x v="4"/>
    <x v="1"/>
    <s v="Indoor"/>
    <x v="0"/>
    <s v="1 Year"/>
    <s v="Yes"/>
    <x v="26"/>
  </r>
  <r>
    <x v="40"/>
    <x v="34"/>
    <n v="299"/>
    <n v="180"/>
    <n v="0.39"/>
    <x v="0"/>
    <n v="2"/>
    <x v="0"/>
    <x v="2"/>
    <x v="2"/>
    <s v="Both"/>
    <x v="1"/>
    <s v="0.5 Year"/>
    <s v="Yes"/>
    <x v="24"/>
  </r>
  <r>
    <x v="41"/>
    <x v="33"/>
    <n v="549"/>
    <n v="127"/>
    <n v="0.76"/>
    <x v="1"/>
    <n v="1"/>
    <x v="0"/>
    <x v="2"/>
    <x v="1"/>
    <s v="Both"/>
    <x v="1"/>
    <s v="2 Year"/>
    <s v="Yes"/>
    <x v="1"/>
  </r>
  <r>
    <x v="42"/>
    <x v="37"/>
    <n v="599"/>
    <n v="125"/>
    <n v="0.79"/>
    <x v="1"/>
    <n v="1"/>
    <x v="0"/>
    <x v="1"/>
    <x v="1"/>
    <s v="Both"/>
    <x v="1"/>
    <s v="2 Year"/>
    <s v="Yes"/>
    <x v="1"/>
  </r>
  <r>
    <x v="43"/>
    <x v="35"/>
    <n v="399"/>
    <n v="130"/>
    <n v="0.67"/>
    <x v="1"/>
    <n v="1"/>
    <x v="0"/>
    <x v="5"/>
    <x v="1"/>
    <s v="Both"/>
    <x v="1"/>
    <s v="2 Year"/>
    <s v="Yes"/>
    <x v="25"/>
  </r>
  <r>
    <x v="44"/>
    <x v="39"/>
    <n v="499"/>
    <n v="189"/>
    <n v="0.62"/>
    <x v="0"/>
    <n v="2"/>
    <x v="0"/>
    <x v="1"/>
    <x v="1"/>
    <s v="Both"/>
    <x v="1"/>
    <s v="2 Year"/>
    <s v="Yes"/>
    <x v="28"/>
  </r>
  <r>
    <x v="45"/>
    <x v="40"/>
    <n v="199"/>
    <n v="132"/>
    <n v="0.33"/>
    <x v="0"/>
    <n v="2"/>
    <x v="0"/>
    <x v="7"/>
    <x v="0"/>
    <s v="Indoor"/>
    <x v="1"/>
    <s v="1 Year"/>
    <s v="Yes"/>
    <x v="29"/>
  </r>
  <r>
    <x v="46"/>
    <x v="41"/>
    <n v="499"/>
    <n v="123"/>
    <n v="0.75"/>
    <x v="0"/>
    <n v="2"/>
    <x v="0"/>
    <x v="1"/>
    <x v="0"/>
    <s v="Both"/>
    <x v="0"/>
    <s v="2 Year"/>
    <s v="Yes"/>
    <x v="30"/>
  </r>
  <r>
    <x v="47"/>
    <x v="42"/>
    <n v="489"/>
    <n v="165"/>
    <n v="0.66"/>
    <x v="1"/>
    <n v="1"/>
    <x v="0"/>
    <x v="0"/>
    <x v="0"/>
    <s v="Indoor"/>
    <x v="1"/>
    <s v="2 Year"/>
    <s v="Yes"/>
    <x v="31"/>
  </r>
  <r>
    <x v="48"/>
    <x v="43"/>
    <n v="399"/>
    <n v="256"/>
    <n v="0.35"/>
    <x v="1"/>
    <n v="1"/>
    <x v="0"/>
    <x v="8"/>
    <x v="1"/>
    <s v="Indoor"/>
    <x v="1"/>
    <s v="1 Year"/>
    <s v="No"/>
    <x v="32"/>
  </r>
  <r>
    <x v="49"/>
    <x v="44"/>
    <n v="904"/>
    <n v="196"/>
    <n v="0.78"/>
    <x v="0"/>
    <n v="2"/>
    <x v="0"/>
    <x v="1"/>
    <x v="0"/>
    <s v="Both"/>
    <x v="0"/>
    <s v="2 Year"/>
    <s v="No"/>
    <x v="25"/>
  </r>
  <r>
    <x v="50"/>
    <x v="45"/>
    <n v="599"/>
    <n v="125"/>
    <n v="0.79"/>
    <x v="1"/>
    <n v="1"/>
    <x v="0"/>
    <x v="3"/>
    <x v="1"/>
    <s v="Both"/>
    <x v="1"/>
    <s v="2 Year"/>
    <s v="Yes"/>
    <x v="1"/>
  </r>
  <r>
    <x v="51"/>
    <x v="46"/>
    <n v="350"/>
    <n v="126"/>
    <n v="0.64"/>
    <x v="0"/>
    <n v="2"/>
    <x v="0"/>
    <x v="2"/>
    <x v="1"/>
    <s v="Both"/>
    <x v="1"/>
    <s v="2 Year"/>
    <s v="Yes"/>
    <x v="28"/>
  </r>
  <r>
    <x v="52"/>
    <x v="47"/>
    <n v="299"/>
    <n v="114"/>
    <n v="0.61"/>
    <x v="1"/>
    <n v="1"/>
    <x v="0"/>
    <x v="5"/>
    <x v="1"/>
    <s v="Both"/>
    <x v="0"/>
    <s v="2 Year"/>
    <s v="Yes"/>
    <x v="17"/>
  </r>
  <r>
    <x v="53"/>
    <x v="48"/>
    <n v="249"/>
    <n v="120"/>
    <n v="0.51"/>
    <x v="1"/>
    <n v="1"/>
    <x v="0"/>
    <x v="3"/>
    <x v="0"/>
    <s v="Both"/>
    <x v="1"/>
    <s v="1 Year"/>
    <s v="Yes"/>
    <x v="33"/>
  </r>
  <r>
    <x v="54"/>
    <x v="49"/>
    <n v="499"/>
    <n v="139"/>
    <n v="0.72"/>
    <x v="0"/>
    <n v="2"/>
    <x v="0"/>
    <x v="0"/>
    <x v="1"/>
    <s v="Both"/>
    <x v="1"/>
    <s v="2 Year"/>
    <s v="Yes"/>
    <x v="28"/>
  </r>
  <r>
    <x v="55"/>
    <x v="50"/>
    <n v="599"/>
    <n v="226"/>
    <n v="0.62"/>
    <x v="0"/>
    <n v="2"/>
    <x v="0"/>
    <x v="3"/>
    <x v="0"/>
    <s v="Both"/>
    <x v="1"/>
    <s v="2 Year"/>
    <s v="Yes"/>
    <x v="34"/>
  </r>
  <r>
    <x v="56"/>
    <x v="51"/>
    <n v="589"/>
    <n v="125"/>
    <n v="0.78"/>
    <x v="1"/>
    <n v="1"/>
    <x v="0"/>
    <x v="0"/>
    <x v="1"/>
    <s v="Both"/>
    <x v="1"/>
    <s v="2 Year"/>
    <s v="Yes"/>
    <x v="35"/>
  </r>
  <r>
    <x v="57"/>
    <x v="52"/>
    <n v="408"/>
    <n v="118"/>
    <n v="0.71"/>
    <x v="0"/>
    <n v="2"/>
    <x v="0"/>
    <x v="1"/>
    <x v="0"/>
    <s v="Both"/>
    <x v="1"/>
    <s v="2 Year"/>
    <s v="Yes"/>
    <x v="1"/>
  </r>
  <r>
    <x v="58"/>
    <x v="53"/>
    <n v="398"/>
    <n v="118"/>
    <n v="0.7"/>
    <x v="1"/>
    <n v="1"/>
    <x v="0"/>
    <x v="3"/>
    <x v="0"/>
    <s v="Both"/>
    <x v="1"/>
    <s v="1 Year"/>
    <s v="Yes"/>
    <x v="36"/>
  </r>
  <r>
    <x v="59"/>
    <x v="54"/>
    <n v="499"/>
    <n v="149"/>
    <n v="0.7"/>
    <x v="1"/>
    <n v="1"/>
    <x v="0"/>
    <x v="0"/>
    <x v="0"/>
    <s v="Indoor"/>
    <x v="0"/>
    <s v="2 Year"/>
    <s v="No"/>
    <x v="37"/>
  </r>
  <r>
    <x v="60"/>
    <x v="55"/>
    <n v="270"/>
    <n v="132"/>
    <n v="0.51"/>
    <x v="1"/>
    <n v="1"/>
    <x v="0"/>
    <x v="2"/>
    <x v="0"/>
    <s v="Both"/>
    <x v="0"/>
    <s v="0.2 Year"/>
    <s v="Yes"/>
    <x v="38"/>
  </r>
  <r>
    <x v="61"/>
    <x v="56"/>
    <n v="249"/>
    <n v="119"/>
    <n v="0.52"/>
    <x v="1"/>
    <n v="1"/>
    <x v="0"/>
    <x v="2"/>
    <x v="0"/>
    <s v="Both"/>
    <x v="1"/>
    <s v="1 Year"/>
    <s v="Yes"/>
    <x v="39"/>
  </r>
  <r>
    <x v="62"/>
    <x v="57"/>
    <n v="489"/>
    <n v="149"/>
    <n v="0.69"/>
    <x v="0"/>
    <n v="2"/>
    <x v="0"/>
    <x v="3"/>
    <x v="1"/>
    <s v="Both"/>
    <x v="1"/>
    <s v="2 Year"/>
    <s v="Yes"/>
    <x v="28"/>
  </r>
  <r>
    <x v="63"/>
    <x v="58"/>
    <n v="229"/>
    <n v="120"/>
    <n v="0.47"/>
    <x v="1"/>
    <n v="1"/>
    <x v="0"/>
    <x v="2"/>
    <x v="0"/>
    <s v="Both"/>
    <x v="0"/>
    <s v="0.9 Year"/>
    <s v="Yes"/>
    <x v="40"/>
  </r>
  <r>
    <x v="64"/>
    <x v="59"/>
    <n v="399"/>
    <n v="160"/>
    <n v="0.59"/>
    <x v="1"/>
    <n v="1"/>
    <x v="0"/>
    <x v="9"/>
    <x v="0"/>
    <s v="Indoor"/>
    <x v="0"/>
    <s v="2 Year"/>
    <s v="No"/>
    <x v="41"/>
  </r>
  <r>
    <x v="65"/>
    <x v="60"/>
    <n v="499"/>
    <n v="135"/>
    <n v="0.72"/>
    <x v="1"/>
    <n v="1"/>
    <x v="0"/>
    <x v="1"/>
    <x v="0"/>
    <s v="Both"/>
    <x v="1"/>
    <s v="1 Year"/>
    <s v="Yes"/>
    <x v="6"/>
  </r>
  <r>
    <x v="66"/>
    <x v="61"/>
    <n v="699"/>
    <n v="127"/>
    <n v="0.81"/>
    <x v="1"/>
    <n v="1"/>
    <x v="0"/>
    <x v="9"/>
    <x v="0"/>
    <s v="Both"/>
    <x v="0"/>
    <s v="1.5 Year"/>
    <s v="Yes"/>
    <x v="42"/>
  </r>
  <r>
    <x v="67"/>
    <x v="62"/>
    <n v="499"/>
    <n v="122"/>
    <n v="0.75"/>
    <x v="0"/>
    <n v="2"/>
    <x v="0"/>
    <x v="1"/>
    <x v="1"/>
    <s v="Both"/>
    <x v="1"/>
    <s v="2 Year"/>
    <s v="Yes"/>
    <x v="43"/>
  </r>
  <r>
    <x v="68"/>
    <x v="63"/>
    <n v="339"/>
    <n v="115"/>
    <n v="0.66"/>
    <x v="1"/>
    <n v="1"/>
    <x v="0"/>
    <x v="2"/>
    <x v="0"/>
    <s v="Both"/>
    <x v="0"/>
    <s v="1 Year"/>
    <s v="Yes"/>
    <x v="44"/>
  </r>
  <r>
    <x v="69"/>
    <x v="64"/>
    <n v="399"/>
    <n v="118"/>
    <n v="0.7"/>
    <x v="1"/>
    <n v="1"/>
    <x v="0"/>
    <x v="3"/>
    <x v="1"/>
    <s v="Both"/>
    <x v="0"/>
    <s v="2 Year"/>
    <s v="No"/>
    <x v="45"/>
  </r>
  <r>
    <x v="70"/>
    <x v="65"/>
    <n v="499"/>
    <n v="122"/>
    <n v="0.75"/>
    <x v="1"/>
    <n v="1"/>
    <x v="0"/>
    <x v="1"/>
    <x v="0"/>
    <s v="Both"/>
    <x v="0"/>
    <s v="1 Year"/>
    <s v="Yes"/>
    <x v="6"/>
  </r>
  <r>
    <x v="71"/>
    <x v="66"/>
    <n v="399"/>
    <n v="125"/>
    <n v="0.68"/>
    <x v="0"/>
    <n v="2"/>
    <x v="0"/>
    <x v="8"/>
    <x v="0"/>
    <s v="Both"/>
    <x v="1"/>
    <s v="2 Year"/>
    <s v="Yes"/>
    <x v="4"/>
  </r>
  <r>
    <x v="72"/>
    <x v="67"/>
    <n v="250"/>
    <n v="120"/>
    <n v="0.52"/>
    <x v="1"/>
    <n v="1"/>
    <x v="0"/>
    <x v="1"/>
    <x v="0"/>
    <s v="Both"/>
    <x v="0"/>
    <s v="1 Year"/>
    <s v="Yes"/>
    <x v="18"/>
  </r>
  <r>
    <x v="73"/>
    <x v="52"/>
    <n v="599"/>
    <n v="117"/>
    <n v="0.8"/>
    <x v="1"/>
    <n v="1"/>
    <x v="0"/>
    <x v="1"/>
    <x v="1"/>
    <s v="Both"/>
    <x v="1"/>
    <s v="2 Year"/>
    <s v="Yes"/>
    <x v="1"/>
  </r>
  <r>
    <x v="74"/>
    <x v="68"/>
    <n v="399"/>
    <n v="134"/>
    <n v="0.66"/>
    <x v="1"/>
    <n v="1"/>
    <x v="0"/>
    <x v="2"/>
    <x v="1"/>
    <s v="Both"/>
    <x v="0"/>
    <s v="2 Year"/>
    <s v="Yes"/>
    <x v="3"/>
  </r>
  <r>
    <x v="75"/>
    <x v="69"/>
    <n v="599"/>
    <n v="135"/>
    <n v="0.77"/>
    <x v="1"/>
    <n v="1"/>
    <x v="0"/>
    <x v="1"/>
    <x v="1"/>
    <s v="Both"/>
    <x v="1"/>
    <s v="2 Year"/>
    <s v="Yes"/>
    <x v="1"/>
  </r>
  <r>
    <x v="76"/>
    <x v="70"/>
    <n v="799"/>
    <n v="146"/>
    <n v="0.81"/>
    <x v="1"/>
    <n v="1"/>
    <x v="0"/>
    <x v="9"/>
    <x v="1"/>
    <s v="Both"/>
    <x v="0"/>
    <s v="0.2 Year"/>
    <s v="Yes"/>
    <x v="46"/>
  </r>
  <r>
    <x v="77"/>
    <x v="71"/>
    <n v="432"/>
    <n v="135"/>
    <n v="0.68"/>
    <x v="1"/>
    <n v="1"/>
    <x v="0"/>
    <x v="0"/>
    <x v="0"/>
    <s v="Both"/>
    <x v="1"/>
    <s v="2 Year"/>
    <s v="Yes"/>
    <x v="47"/>
  </r>
  <r>
    <x v="78"/>
    <x v="72"/>
    <n v="499"/>
    <n v="119"/>
    <n v="0.76"/>
    <x v="1"/>
    <n v="1"/>
    <x v="0"/>
    <x v="2"/>
    <x v="0"/>
    <s v="Both"/>
    <x v="0"/>
    <s v="1 Year"/>
    <s v="Yes"/>
    <x v="6"/>
  </r>
  <r>
    <x v="79"/>
    <x v="73"/>
    <n v="153"/>
    <n v="112"/>
    <n v="0.26"/>
    <x v="1"/>
    <n v="1"/>
    <x v="0"/>
    <x v="2"/>
    <x v="1"/>
    <s v="Both"/>
    <x v="1"/>
    <s v="2 Year"/>
    <s v="Yes"/>
    <x v="48"/>
  </r>
  <r>
    <x v="80"/>
    <x v="74"/>
    <n v="999"/>
    <n v="146"/>
    <n v="0.85"/>
    <x v="1"/>
    <n v="1"/>
    <x v="0"/>
    <x v="0"/>
    <x v="0"/>
    <s v="Both"/>
    <x v="1"/>
    <s v="2 Year"/>
    <s v="Yes"/>
    <x v="49"/>
  </r>
  <r>
    <x v="81"/>
    <x v="75"/>
    <n v="499"/>
    <n v="191"/>
    <n v="0.61"/>
    <x v="1"/>
    <n v="1"/>
    <x v="0"/>
    <x v="7"/>
    <x v="1"/>
    <s v="Both"/>
    <x v="1"/>
    <s v="2 Year"/>
    <s v="Yes"/>
    <x v="35"/>
  </r>
  <r>
    <x v="82"/>
    <x v="76"/>
    <n v="499"/>
    <n v="124"/>
    <n v="0.75"/>
    <x v="1"/>
    <n v="1"/>
    <x v="0"/>
    <x v="2"/>
    <x v="1"/>
    <s v="Both"/>
    <x v="1"/>
    <s v="0.5 Year"/>
    <s v="Yes"/>
    <x v="50"/>
  </r>
  <r>
    <x v="83"/>
    <x v="77"/>
    <n v="299"/>
    <n v="161"/>
    <n v="0.46"/>
    <x v="0"/>
    <n v="2"/>
    <x v="0"/>
    <x v="2"/>
    <x v="0"/>
    <s v="Both"/>
    <x v="0"/>
    <s v="1 Year"/>
    <s v="No"/>
    <x v="51"/>
  </r>
  <r>
    <x v="84"/>
    <x v="78"/>
    <n v="599"/>
    <n v="125"/>
    <n v="0.79"/>
    <x v="1"/>
    <n v="1"/>
    <x v="0"/>
    <x v="1"/>
    <x v="1"/>
    <s v="Both"/>
    <x v="1"/>
    <s v="2 Year"/>
    <s v="Yes"/>
    <x v="1"/>
  </r>
  <r>
    <x v="85"/>
    <x v="79"/>
    <n v="376"/>
    <n v="121"/>
    <n v="0.67"/>
    <x v="1"/>
    <n v="1"/>
    <x v="0"/>
    <x v="1"/>
    <x v="0"/>
    <s v="Indoor"/>
    <x v="1"/>
    <s v="1 Year"/>
    <s v="Yes"/>
    <x v="1"/>
  </r>
  <r>
    <x v="86"/>
    <x v="80"/>
    <n v="299"/>
    <n v="189"/>
    <n v="0.36"/>
    <x v="0"/>
    <n v="2"/>
    <x v="0"/>
    <x v="1"/>
    <x v="2"/>
    <s v="Both"/>
    <x v="1"/>
    <s v="0.5 Year"/>
    <s v="Yes"/>
    <x v="24"/>
  </r>
  <r>
    <x v="87"/>
    <x v="81"/>
    <n v="599"/>
    <n v="220"/>
    <n v="0.63"/>
    <x v="1"/>
    <n v="1"/>
    <x v="0"/>
    <x v="3"/>
    <x v="1"/>
    <s v="Both"/>
    <x v="1"/>
    <s v="2 Year"/>
    <s v="Yes"/>
    <x v="1"/>
  </r>
  <r>
    <x v="88"/>
    <x v="82"/>
    <n v="419"/>
    <n v="133"/>
    <n v="0.68"/>
    <x v="0"/>
    <n v="2"/>
    <x v="0"/>
    <x v="3"/>
    <x v="0"/>
    <s v="Both"/>
    <x v="1"/>
    <s v="1 Year"/>
    <s v="Yes"/>
    <x v="7"/>
  </r>
  <r>
    <x v="89"/>
    <x v="83"/>
    <n v="399"/>
    <n v="174"/>
    <n v="0.56000000000000005"/>
    <x v="1"/>
    <n v="1"/>
    <x v="0"/>
    <x v="8"/>
    <x v="0"/>
    <s v="Indoor"/>
    <x v="1"/>
    <s v="4 Year"/>
    <s v="Yes"/>
    <x v="32"/>
  </r>
  <r>
    <x v="90"/>
    <x v="84"/>
    <n v="598"/>
    <n v="139"/>
    <n v="0.76"/>
    <x v="1"/>
    <n v="1"/>
    <x v="0"/>
    <x v="1"/>
    <x v="1"/>
    <s v="Both"/>
    <x v="1"/>
    <s v="2 Year"/>
    <s v="Yes"/>
    <x v="1"/>
  </r>
  <r>
    <x v="91"/>
    <x v="85"/>
    <n v="299"/>
    <n v="175"/>
    <n v="0.41"/>
    <x v="0"/>
    <n v="2"/>
    <x v="0"/>
    <x v="1"/>
    <x v="1"/>
    <s v="Both"/>
    <x v="1"/>
    <s v="2 Year"/>
    <s v="Yes"/>
    <x v="52"/>
  </r>
  <r>
    <x v="92"/>
    <x v="86"/>
    <n v="499"/>
    <n v="125"/>
    <n v="0.74"/>
    <x v="1"/>
    <n v="1"/>
    <x v="0"/>
    <x v="4"/>
    <x v="0"/>
    <s v="Both"/>
    <x v="1"/>
    <s v="2 Year"/>
    <s v="Yes"/>
    <x v="53"/>
  </r>
  <r>
    <x v="93"/>
    <x v="87"/>
    <n v="398"/>
    <n v="124"/>
    <n v="0.68"/>
    <x v="0"/>
    <n v="2"/>
    <x v="0"/>
    <x v="1"/>
    <x v="2"/>
    <s v="Both"/>
    <x v="1"/>
    <s v="2 Year"/>
    <s v="Yes"/>
    <x v="36"/>
  </r>
  <r>
    <x v="94"/>
    <x v="88"/>
    <n v="313"/>
    <n v="120"/>
    <n v="0.61"/>
    <x v="0"/>
    <n v="2"/>
    <x v="0"/>
    <x v="2"/>
    <x v="0"/>
    <s v="Both"/>
    <x v="1"/>
    <s v="2 Year"/>
    <s v="Yes"/>
    <x v="1"/>
  </r>
  <r>
    <x v="95"/>
    <x v="89"/>
    <n v="399"/>
    <n v="185"/>
    <n v="0.53"/>
    <x v="1"/>
    <n v="1"/>
    <x v="0"/>
    <x v="3"/>
    <x v="2"/>
    <s v="Both"/>
    <x v="0"/>
    <s v="1 Year"/>
    <s v="Yes"/>
    <x v="8"/>
  </r>
  <r>
    <x v="96"/>
    <x v="90"/>
    <n v="599"/>
    <n v="126"/>
    <n v="0.78"/>
    <x v="1"/>
    <n v="1"/>
    <x v="0"/>
    <x v="1"/>
    <x v="1"/>
    <s v="Indoor"/>
    <x v="1"/>
    <s v="2 Year"/>
    <s v="Yes"/>
    <x v="54"/>
  </r>
  <r>
    <x v="97"/>
    <x v="91"/>
    <n v="1000"/>
    <n v="167"/>
    <n v="0.83"/>
    <x v="1"/>
    <n v="1"/>
    <x v="0"/>
    <x v="0"/>
    <x v="0"/>
    <s v="Indoor"/>
    <x v="0"/>
    <s v="2 Year"/>
    <s v="Yes"/>
    <x v="55"/>
  </r>
  <r>
    <x v="98"/>
    <x v="92"/>
    <n v="499"/>
    <n v="135"/>
    <n v="0.68"/>
    <x v="1"/>
    <s v=""/>
    <x v="0"/>
    <x v="3"/>
    <x v="1"/>
    <s v="Both"/>
    <x v="1"/>
    <s v="0.6 Year"/>
    <s v="Yes"/>
    <x v="18"/>
  </r>
  <r>
    <x v="99"/>
    <x v="93"/>
    <n v="299"/>
    <n v="125"/>
    <n v="0.57999999999999996"/>
    <x v="0"/>
    <n v="2"/>
    <x v="0"/>
    <x v="0"/>
    <x v="0"/>
    <s v="Both"/>
    <x v="0"/>
    <s v="1 Year"/>
    <s v="Yes"/>
    <x v="29"/>
  </r>
  <r>
    <x v="100"/>
    <x v="94"/>
    <n v="499"/>
    <n v="145"/>
    <n v="0.7"/>
    <x v="1"/>
    <n v="1"/>
    <x v="0"/>
    <x v="2"/>
    <x v="0"/>
    <s v="Indoor"/>
    <x v="0"/>
    <s v="2 Year"/>
    <s v="No"/>
    <x v="56"/>
  </r>
  <r>
    <x v="101"/>
    <x v="49"/>
    <n v="492"/>
    <n v="152"/>
    <n v="0.69"/>
    <x v="0"/>
    <n v="2"/>
    <x v="0"/>
    <x v="3"/>
    <x v="1"/>
    <s v="Both"/>
    <x v="1"/>
    <s v="2 Year"/>
    <s v="Yes"/>
    <x v="28"/>
  </r>
  <r>
    <x v="102"/>
    <x v="95"/>
    <n v="399"/>
    <n v="130"/>
    <n v="0.67"/>
    <x v="1"/>
    <n v="1"/>
    <x v="0"/>
    <x v="1"/>
    <x v="0"/>
    <s v="Both"/>
    <x v="0"/>
    <s v="1 Year"/>
    <s v="Yes"/>
    <x v="57"/>
  </r>
  <r>
    <x v="103"/>
    <x v="96"/>
    <n v="599"/>
    <n v="130"/>
    <n v="0.78"/>
    <x v="1"/>
    <n v="1"/>
    <x v="0"/>
    <x v="2"/>
    <x v="0"/>
    <s v="Both"/>
    <x v="1"/>
    <s v="2 Year"/>
    <s v="Yes"/>
    <x v="44"/>
  </r>
  <r>
    <x v="104"/>
    <x v="97"/>
    <n v="499"/>
    <n v="135"/>
    <n v="0.68"/>
    <x v="1"/>
    <s v=""/>
    <x v="0"/>
    <x v="1"/>
    <x v="0"/>
    <s v="Both"/>
    <x v="1"/>
    <s v="0.6 Year"/>
    <s v="Yes"/>
    <x v="1"/>
  </r>
  <r>
    <x v="105"/>
    <x v="98"/>
    <n v="899"/>
    <n v="146"/>
    <n v="0.83"/>
    <x v="1"/>
    <n v="1"/>
    <x v="0"/>
    <x v="2"/>
    <x v="2"/>
    <s v="Indoor"/>
    <x v="1"/>
    <s v="2 Year"/>
    <s v="Yes"/>
    <x v="58"/>
  </r>
  <r>
    <x v="106"/>
    <x v="99"/>
    <n v="499"/>
    <n v="199"/>
    <n v="0.6"/>
    <x v="0"/>
    <n v="2"/>
    <x v="0"/>
    <x v="5"/>
    <x v="0"/>
    <s v="Both"/>
    <x v="1"/>
    <s v="10 Year"/>
    <s v="Yes"/>
    <x v="59"/>
  </r>
  <r>
    <x v="107"/>
    <x v="100"/>
    <n v="499"/>
    <n v="169"/>
    <n v="0.66"/>
    <x v="1"/>
    <n v="1"/>
    <x v="0"/>
    <x v="6"/>
    <x v="1"/>
    <s v="Indoor"/>
    <x v="0"/>
    <s v="2 Year"/>
    <s v="Yes"/>
    <x v="60"/>
  </r>
  <r>
    <x v="108"/>
    <x v="101"/>
    <n v="498"/>
    <n v="128"/>
    <n v="0.74"/>
    <x v="1"/>
    <n v="1"/>
    <x v="0"/>
    <x v="0"/>
    <x v="1"/>
    <s v="Indoor"/>
    <x v="0"/>
    <s v="2 Year"/>
    <s v="Yes"/>
    <x v="61"/>
  </r>
  <r>
    <x v="109"/>
    <x v="102"/>
    <n v="599"/>
    <n v="169"/>
    <n v="0.71"/>
    <x v="1"/>
    <n v="1"/>
    <x v="0"/>
    <x v="1"/>
    <x v="1"/>
    <s v="Both"/>
    <x v="1"/>
    <s v="2 Year"/>
    <s v="Yes"/>
    <x v="1"/>
  </r>
  <r>
    <x v="110"/>
    <x v="103"/>
    <n v="499"/>
    <n v="120"/>
    <n v="0.75"/>
    <x v="1"/>
    <n v="1"/>
    <x v="0"/>
    <x v="2"/>
    <x v="1"/>
    <s v="Both"/>
    <x v="1"/>
    <s v="2 Year"/>
    <s v="Yes"/>
    <x v="1"/>
  </r>
  <r>
    <x v="111"/>
    <x v="104"/>
    <n v="500"/>
    <n v="199"/>
    <n v="0.6"/>
    <x v="1"/>
    <n v="1"/>
    <x v="0"/>
    <x v="5"/>
    <x v="1"/>
    <s v="Both"/>
    <x v="1"/>
    <s v="2 Year"/>
    <s v="Yes"/>
    <x v="62"/>
  </r>
  <r>
    <x v="112"/>
    <x v="105"/>
    <n v="489"/>
    <n v="123"/>
    <n v="0.74"/>
    <x v="0"/>
    <n v="2"/>
    <x v="0"/>
    <x v="3"/>
    <x v="1"/>
    <s v="Both"/>
    <x v="1"/>
    <s v="2 Year"/>
    <s v="Yes"/>
    <x v="28"/>
  </r>
  <r>
    <x v="113"/>
    <x v="106"/>
    <n v="399"/>
    <n v="127"/>
    <n v="0.68"/>
    <x v="1"/>
    <n v="1"/>
    <x v="0"/>
    <x v="2"/>
    <x v="1"/>
    <s v="Both"/>
    <x v="0"/>
    <s v="2 Year"/>
    <s v="Yes"/>
    <x v="63"/>
  </r>
  <r>
    <x v="114"/>
    <x v="107"/>
    <n v="1200"/>
    <n v="140"/>
    <n v="0.88"/>
    <x v="1"/>
    <n v="1"/>
    <x v="0"/>
    <x v="2"/>
    <x v="0"/>
    <s v="Both"/>
    <x v="1"/>
    <s v="2 Year"/>
    <s v="Yes"/>
    <x v="64"/>
  </r>
  <r>
    <x v="115"/>
    <x v="108"/>
    <n v="499"/>
    <n v="130"/>
    <n v="0.73"/>
    <x v="1"/>
    <n v="1"/>
    <x v="0"/>
    <x v="5"/>
    <x v="1"/>
    <s v="Both"/>
    <x v="0"/>
    <s v="2 Year"/>
    <s v="Yes"/>
    <x v="3"/>
  </r>
  <r>
    <x v="116"/>
    <x v="109"/>
    <n v="299"/>
    <n v="180"/>
    <n v="0.39"/>
    <x v="0"/>
    <n v="2"/>
    <x v="0"/>
    <x v="3"/>
    <x v="0"/>
    <s v="Both"/>
    <x v="0"/>
    <s v="1 Year"/>
    <s v="Yes"/>
    <x v="29"/>
  </r>
  <r>
    <x v="117"/>
    <x v="110"/>
    <n v="299"/>
    <n v="250"/>
    <n v="0.16"/>
    <x v="1"/>
    <n v="1"/>
    <x v="0"/>
    <x v="2"/>
    <x v="0"/>
    <s v="Both"/>
    <x v="1"/>
    <s v="1 Year"/>
    <s v="Yes"/>
    <x v="51"/>
  </r>
  <r>
    <x v="118"/>
    <x v="111"/>
    <n v="499"/>
    <n v="136"/>
    <n v="0.72"/>
    <x v="0"/>
    <n v="2"/>
    <x v="0"/>
    <x v="1"/>
    <x v="0"/>
    <s v="Both"/>
    <x v="0"/>
    <s v="1 Year"/>
    <s v="Yes"/>
    <x v="6"/>
  </r>
  <r>
    <x v="119"/>
    <x v="112"/>
    <n v="399"/>
    <n v="170"/>
    <n v="0.56999999999999995"/>
    <x v="1"/>
    <n v="1"/>
    <x v="0"/>
    <x v="5"/>
    <x v="0"/>
    <s v="Both"/>
    <x v="0"/>
    <s v="2 Year"/>
    <s v="No"/>
    <x v="11"/>
  </r>
  <r>
    <x v="120"/>
    <x v="113"/>
    <n v="249"/>
    <n v="125"/>
    <n v="0.49"/>
    <x v="1"/>
    <n v="1"/>
    <x v="0"/>
    <x v="2"/>
    <x v="0"/>
    <s v="Both"/>
    <x v="1"/>
    <s v="0.6 Year"/>
    <s v="Yes"/>
    <x v="65"/>
  </r>
  <r>
    <x v="121"/>
    <x v="114"/>
    <n v="499"/>
    <n v="115"/>
    <n v="0.76"/>
    <x v="1"/>
    <n v="1"/>
    <x v="0"/>
    <x v="1"/>
    <x v="0"/>
    <s v="Both"/>
    <x v="0"/>
    <s v="1 Year"/>
    <s v="Yes"/>
    <x v="6"/>
  </r>
  <r>
    <x v="122"/>
    <x v="115"/>
    <n v="399"/>
    <n v="127"/>
    <n v="0.68"/>
    <x v="0"/>
    <n v="2"/>
    <x v="0"/>
    <x v="1"/>
    <x v="1"/>
    <s v="Both"/>
    <x v="1"/>
    <s v="2 Year"/>
    <s v="Yes"/>
    <x v="66"/>
  </r>
  <r>
    <x v="123"/>
    <x v="116"/>
    <n v="299"/>
    <n v="130"/>
    <n v="0.56000000000000005"/>
    <x v="0"/>
    <n v="2"/>
    <x v="0"/>
    <x v="1"/>
    <x v="1"/>
    <s v="Both"/>
    <x v="0"/>
    <s v="1 Year"/>
    <s v="Yes"/>
    <x v="6"/>
  </r>
  <r>
    <x v="124"/>
    <x v="117"/>
    <n v="499"/>
    <n v="129"/>
    <n v="0.74"/>
    <x v="0"/>
    <n v="2"/>
    <x v="0"/>
    <x v="6"/>
    <x v="0"/>
    <s v="Both"/>
    <x v="0"/>
    <s v="2 Year"/>
    <s v="Yes"/>
    <x v="67"/>
  </r>
  <r>
    <x v="125"/>
    <x v="118"/>
    <n v="599"/>
    <n v="140"/>
    <n v="0.76"/>
    <x v="0"/>
    <n v="2"/>
    <x v="0"/>
    <x v="6"/>
    <x v="0"/>
    <s v="Both"/>
    <x v="1"/>
    <s v="2 Year"/>
    <s v="Yes"/>
    <x v="54"/>
  </r>
  <r>
    <x v="126"/>
    <x v="119"/>
    <n v="399"/>
    <n v="165"/>
    <n v="0.57999999999999996"/>
    <x v="1"/>
    <n v="1"/>
    <x v="0"/>
    <x v="7"/>
    <x v="0"/>
    <s v="Indoor"/>
    <x v="1"/>
    <s v="0.5 Year"/>
    <s v="Yes"/>
    <x v="16"/>
  </r>
  <r>
    <x v="127"/>
    <x v="120"/>
    <n v="499"/>
    <n v="196"/>
    <n v="0.6"/>
    <x v="1"/>
    <n v="1"/>
    <x v="0"/>
    <x v="1"/>
    <x v="0"/>
    <s v="Both"/>
    <x v="0"/>
    <s v="2 Year"/>
    <s v="Yes"/>
    <x v="7"/>
  </r>
  <r>
    <x v="128"/>
    <x v="121"/>
    <n v="599"/>
    <n v="120"/>
    <n v="0.79"/>
    <x v="1"/>
    <n v="1"/>
    <x v="0"/>
    <x v="1"/>
    <x v="1"/>
    <s v="Both"/>
    <x v="1"/>
    <s v="2 Year"/>
    <s v="Yes"/>
    <x v="1"/>
  </r>
  <r>
    <x v="129"/>
    <x v="122"/>
    <n v="499"/>
    <n v="138"/>
    <n v="0.72"/>
    <x v="1"/>
    <n v="1"/>
    <x v="0"/>
    <x v="1"/>
    <x v="1"/>
    <s v="Both"/>
    <x v="1"/>
    <s v="2 Year"/>
    <s v="Yes"/>
    <x v="68"/>
  </r>
  <r>
    <x v="130"/>
    <x v="123"/>
    <n v="599"/>
    <n v="160"/>
    <n v="0.73"/>
    <x v="1"/>
    <n v="1"/>
    <x v="0"/>
    <x v="1"/>
    <x v="1"/>
    <s v="Both"/>
    <x v="1"/>
    <s v="2 Year"/>
    <s v="Yes"/>
    <x v="1"/>
  </r>
  <r>
    <x v="131"/>
    <x v="124"/>
    <n v="499"/>
    <n v="125"/>
    <n v="0.74"/>
    <x v="1"/>
    <n v="1"/>
    <x v="0"/>
    <x v="1"/>
    <x v="1"/>
    <s v="Both"/>
    <x v="0"/>
    <s v="2 Year"/>
    <s v="Yes"/>
    <x v="1"/>
  </r>
  <r>
    <x v="132"/>
    <x v="125"/>
    <n v="499"/>
    <n v="125"/>
    <n v="0.74"/>
    <x v="1"/>
    <n v="1"/>
    <x v="0"/>
    <x v="1"/>
    <x v="1"/>
    <s v="Both"/>
    <x v="1"/>
    <s v="1 Year"/>
    <s v="Yes"/>
    <x v="6"/>
  </r>
  <r>
    <x v="133"/>
    <x v="126"/>
    <n v="499"/>
    <n v="122"/>
    <n v="0.75"/>
    <x v="1"/>
    <n v="1"/>
    <x v="0"/>
    <x v="1"/>
    <x v="1"/>
    <s v="Both"/>
    <x v="1"/>
    <s v="2 Year"/>
    <s v="Yes"/>
    <x v="1"/>
  </r>
  <r>
    <x v="134"/>
    <x v="83"/>
    <n v="799"/>
    <n v="173"/>
    <n v="0.78"/>
    <x v="1"/>
    <n v="1"/>
    <x v="0"/>
    <x v="8"/>
    <x v="1"/>
    <s v="Indoor"/>
    <x v="1"/>
    <s v="12 Year"/>
    <s v="Yes"/>
    <x v="32"/>
  </r>
  <r>
    <x v="135"/>
    <x v="127"/>
    <n v="489"/>
    <n v="123"/>
    <n v="0.74"/>
    <x v="0"/>
    <n v="2"/>
    <x v="0"/>
    <x v="1"/>
    <x v="1"/>
    <s v="Both"/>
    <x v="1"/>
    <s v="2 Year"/>
    <s v="Yes"/>
    <x v="28"/>
  </r>
  <r>
    <x v="136"/>
    <x v="32"/>
    <n v="598"/>
    <n v="121"/>
    <n v="0.79"/>
    <x v="1"/>
    <n v="1"/>
    <x v="0"/>
    <x v="3"/>
    <x v="1"/>
    <s v="Both"/>
    <x v="1"/>
    <s v="2 Year"/>
    <s v="Yes"/>
    <x v="1"/>
  </r>
  <r>
    <x v="137"/>
    <x v="128"/>
    <n v="399"/>
    <n v="160"/>
    <n v="0.59"/>
    <x v="1"/>
    <n v="1"/>
    <x v="0"/>
    <x v="6"/>
    <x v="0"/>
    <s v="Both"/>
    <x v="1"/>
    <s v="1 Year"/>
    <s v="Yes"/>
    <x v="22"/>
  </r>
  <r>
    <x v="138"/>
    <x v="129"/>
    <n v="499"/>
    <n v="135"/>
    <n v="0.72"/>
    <x v="1"/>
    <n v="1"/>
    <x v="0"/>
    <x v="6"/>
    <x v="0"/>
    <s v="Indoor"/>
    <x v="1"/>
    <s v="1 Year"/>
    <s v="Yes"/>
    <x v="6"/>
  </r>
  <r>
    <x v="139"/>
    <x v="130"/>
    <n v="299"/>
    <n v="183"/>
    <n v="0.38"/>
    <x v="0"/>
    <n v="2"/>
    <x v="0"/>
    <x v="1"/>
    <x v="0"/>
    <s v="Both"/>
    <x v="0"/>
    <s v="0.5 Year"/>
    <s v="Yes"/>
    <x v="69"/>
  </r>
  <r>
    <x v="140"/>
    <x v="131"/>
    <n v="349"/>
    <n v="182"/>
    <n v="0.47"/>
    <x v="1"/>
    <n v="1"/>
    <x v="0"/>
    <x v="0"/>
    <x v="0"/>
    <s v="Both"/>
    <x v="0"/>
    <s v="2 Year"/>
    <s v="No"/>
    <x v="70"/>
  </r>
  <r>
    <x v="141"/>
    <x v="132"/>
    <n v="599"/>
    <n v="126"/>
    <n v="0.78"/>
    <x v="1"/>
    <n v="1"/>
    <x v="0"/>
    <x v="0"/>
    <x v="1"/>
    <s v="Both"/>
    <x v="1"/>
    <s v="2 Year"/>
    <s v="Yes"/>
    <x v="1"/>
  </r>
  <r>
    <x v="142"/>
    <x v="20"/>
    <n v="399"/>
    <n v="123"/>
    <n v="0.69"/>
    <x v="1"/>
    <n v="1"/>
    <x v="0"/>
    <x v="2"/>
    <x v="0"/>
    <s v="Both"/>
    <x v="1"/>
    <s v="0.5 Year"/>
    <s v="Yes"/>
    <x v="16"/>
  </r>
  <r>
    <x v="143"/>
    <x v="133"/>
    <n v="298"/>
    <n v="127"/>
    <n v="0.56999999999999995"/>
    <x v="1"/>
    <n v="1"/>
    <x v="0"/>
    <x v="3"/>
    <x v="1"/>
    <s v="Both"/>
    <x v="1"/>
    <s v="5 Year"/>
    <s v="Yes"/>
    <x v="71"/>
  </r>
  <r>
    <x v="144"/>
    <x v="134"/>
    <n v="280"/>
    <n v="155"/>
    <n v="0.44"/>
    <x v="1"/>
    <n v="1"/>
    <x v="0"/>
    <x v="1"/>
    <x v="0"/>
    <s v="Both"/>
    <x v="1"/>
    <s v="2 Year"/>
    <s v="Yes"/>
    <x v="51"/>
  </r>
  <r>
    <x v="145"/>
    <x v="135"/>
    <n v="305"/>
    <n v="119"/>
    <n v="0.6"/>
    <x v="1"/>
    <n v="1"/>
    <x v="0"/>
    <x v="3"/>
    <x v="2"/>
    <s v="Both"/>
    <x v="1"/>
    <s v="2 Year"/>
    <s v="Yes"/>
    <x v="18"/>
  </r>
  <r>
    <x v="146"/>
    <x v="136"/>
    <n v="399"/>
    <n v="158"/>
    <n v="0.6"/>
    <x v="0"/>
    <n v="2"/>
    <x v="0"/>
    <x v="2"/>
    <x v="0"/>
    <s v="Both"/>
    <x v="1"/>
    <s v="1 Year"/>
    <s v="Yes"/>
    <x v="72"/>
  </r>
  <r>
    <x v="147"/>
    <x v="137"/>
    <n v="247"/>
    <n v="119"/>
    <n v="0.51"/>
    <x v="1"/>
    <n v="1"/>
    <x v="0"/>
    <x v="3"/>
    <x v="0"/>
    <s v="Both"/>
    <x v="1"/>
    <s v="2 Year"/>
    <s v="Yes"/>
    <x v="73"/>
  </r>
  <r>
    <x v="148"/>
    <x v="138"/>
    <n v="450"/>
    <n v="131"/>
    <n v="0.7"/>
    <x v="1"/>
    <s v=""/>
    <x v="0"/>
    <x v="1"/>
    <x v="0"/>
    <s v="Both"/>
    <x v="0"/>
    <s v="1 Year"/>
    <s v="Yes"/>
    <x v="8"/>
  </r>
  <r>
    <x v="149"/>
    <x v="45"/>
    <n v="439"/>
    <n v="119"/>
    <n v="0.72"/>
    <x v="1"/>
    <n v="1"/>
    <x v="0"/>
    <x v="3"/>
    <x v="0"/>
    <s v="Both"/>
    <x v="1"/>
    <s v="0.6 Year"/>
    <s v="Yes"/>
    <x v="1"/>
  </r>
  <r>
    <x v="150"/>
    <x v="139"/>
    <n v="599"/>
    <n v="126"/>
    <n v="0.78"/>
    <x v="1"/>
    <n v="1"/>
    <x v="0"/>
    <x v="1"/>
    <x v="1"/>
    <s v="Both"/>
    <x v="1"/>
    <s v="2 Year"/>
    <s v="Yes"/>
    <x v="1"/>
  </r>
  <r>
    <x v="151"/>
    <x v="140"/>
    <n v="399"/>
    <n v="126"/>
    <n v="0.68"/>
    <x v="1"/>
    <n v="1"/>
    <x v="0"/>
    <x v="1"/>
    <x v="1"/>
    <s v="Both"/>
    <x v="0"/>
    <s v="2 Year"/>
    <s v="Yes"/>
    <x v="17"/>
  </r>
  <r>
    <x v="152"/>
    <x v="141"/>
    <n v="298"/>
    <n v="123"/>
    <n v="0.57999999999999996"/>
    <x v="1"/>
    <n v="1"/>
    <x v="0"/>
    <x v="1"/>
    <x v="1"/>
    <s v="Both"/>
    <x v="1"/>
    <s v="2 Year"/>
    <s v="Yes"/>
    <x v="4"/>
  </r>
  <r>
    <x v="153"/>
    <x v="142"/>
    <n v="499"/>
    <n v="126"/>
    <n v="0.74"/>
    <x v="1"/>
    <n v="1"/>
    <x v="0"/>
    <x v="2"/>
    <x v="1"/>
    <s v="Both"/>
    <x v="0"/>
    <s v="0.6 Year"/>
    <s v="Yes"/>
    <x v="74"/>
  </r>
  <r>
    <x v="154"/>
    <x v="143"/>
    <n v="499"/>
    <n v="123"/>
    <n v="0.75"/>
    <x v="1"/>
    <n v="1"/>
    <x v="0"/>
    <x v="2"/>
    <x v="1"/>
    <s v="Both"/>
    <x v="0"/>
    <s v="2 Year"/>
    <s v="Yes"/>
    <x v="31"/>
  </r>
  <r>
    <x v="155"/>
    <x v="144"/>
    <n v="389"/>
    <n v="161"/>
    <n v="0.57999999999999996"/>
    <x v="0"/>
    <n v="2"/>
    <x v="0"/>
    <x v="2"/>
    <x v="1"/>
    <s v="Both"/>
    <x v="0"/>
    <s v="20 Year"/>
    <s v="Yes"/>
    <x v="17"/>
  </r>
  <r>
    <x v="156"/>
    <x v="145"/>
    <n v="399"/>
    <n v="137"/>
    <n v="0.65"/>
    <x v="0"/>
    <n v="2"/>
    <x v="0"/>
    <x v="1"/>
    <x v="0"/>
    <s v="Both"/>
    <x v="1"/>
    <s v="2 Year"/>
    <s v="Yes"/>
    <x v="75"/>
  </r>
  <r>
    <x v="157"/>
    <x v="60"/>
    <n v="499"/>
    <n v="122"/>
    <n v="0.75"/>
    <x v="1"/>
    <n v="1"/>
    <x v="0"/>
    <x v="1"/>
    <x v="0"/>
    <s v="Both"/>
    <x v="1"/>
    <s v="1 Year"/>
    <s v="Yes"/>
    <x v="6"/>
  </r>
  <r>
    <x v="158"/>
    <x v="146"/>
    <n v="599"/>
    <n v="125"/>
    <n v="0.79"/>
    <x v="1"/>
    <n v="1"/>
    <x v="0"/>
    <x v="3"/>
    <x v="1"/>
    <s v="Both"/>
    <x v="1"/>
    <s v="2 Year"/>
    <s v="Yes"/>
    <x v="1"/>
  </r>
  <r>
    <x v="159"/>
    <x v="147"/>
    <n v="499"/>
    <n v="129"/>
    <n v="0.74"/>
    <x v="0"/>
    <n v="2"/>
    <x v="0"/>
    <x v="1"/>
    <x v="0"/>
    <s v="Both"/>
    <x v="0"/>
    <s v="1 Year"/>
    <s v="Yes"/>
    <x v="6"/>
  </r>
  <r>
    <x v="160"/>
    <x v="97"/>
    <n v="499"/>
    <n v="119"/>
    <n v="0.76"/>
    <x v="0"/>
    <n v="2"/>
    <x v="0"/>
    <x v="1"/>
    <x v="1"/>
    <s v="Both"/>
    <x v="1"/>
    <s v="2 Year"/>
    <s v="Yes"/>
    <x v="1"/>
  </r>
  <r>
    <x v="161"/>
    <x v="148"/>
    <n v="251"/>
    <n v="118"/>
    <n v="0.52"/>
    <x v="1"/>
    <n v="1"/>
    <x v="0"/>
    <x v="2"/>
    <x v="0"/>
    <s v="Both"/>
    <x v="0"/>
    <s v="2 Year"/>
    <s v="Yes"/>
    <x v="49"/>
  </r>
  <r>
    <x v="162"/>
    <x v="149"/>
    <n v="499"/>
    <n v="210"/>
    <n v="0.56999999999999995"/>
    <x v="0"/>
    <n v="2"/>
    <x v="0"/>
    <x v="5"/>
    <x v="1"/>
    <s v="Both"/>
    <x v="0"/>
    <s v="0.3 Year"/>
    <s v="No"/>
    <x v="76"/>
  </r>
  <r>
    <x v="163"/>
    <x v="150"/>
    <n v="425"/>
    <n v="122"/>
    <n v="0.71"/>
    <x v="1"/>
    <n v="1"/>
    <x v="0"/>
    <x v="2"/>
    <x v="1"/>
    <s v="Both"/>
    <x v="1"/>
    <s v="0.2 Year"/>
    <s v="Yes"/>
    <x v="68"/>
  </r>
  <r>
    <x v="164"/>
    <x v="151"/>
    <n v="399"/>
    <n v="142"/>
    <n v="0.64"/>
    <x v="1"/>
    <n v="1"/>
    <x v="0"/>
    <x v="7"/>
    <x v="1"/>
    <s v="Both"/>
    <x v="0"/>
    <s v="2 Year"/>
    <s v="No"/>
    <x v="54"/>
  </r>
  <r>
    <x v="165"/>
    <x v="152"/>
    <n v="849"/>
    <n v="145"/>
    <n v="0.82"/>
    <x v="1"/>
    <n v="1"/>
    <x v="0"/>
    <x v="0"/>
    <x v="1"/>
    <s v="Both"/>
    <x v="1"/>
    <s v="2 Year"/>
    <s v="Yes"/>
    <x v="27"/>
  </r>
  <r>
    <x v="166"/>
    <x v="153"/>
    <n v="384"/>
    <n v="140"/>
    <n v="0.63"/>
    <x v="1"/>
    <n v="1"/>
    <x v="0"/>
    <x v="6"/>
    <x v="0"/>
    <s v="Indoor"/>
    <x v="0"/>
    <s v="1 Year"/>
    <s v="Yes"/>
    <x v="77"/>
  </r>
  <r>
    <x v="167"/>
    <x v="154"/>
    <n v="599"/>
    <n v="129"/>
    <n v="0.78"/>
    <x v="1"/>
    <n v="1"/>
    <x v="0"/>
    <x v="2"/>
    <x v="0"/>
    <s v="Both"/>
    <x v="1"/>
    <s v="2 Year"/>
    <s v="Yes"/>
    <x v="78"/>
  </r>
  <r>
    <x v="168"/>
    <x v="155"/>
    <n v="299"/>
    <n v="126"/>
    <n v="0.56999999999999995"/>
    <x v="1"/>
    <n v="1"/>
    <x v="0"/>
    <x v="2"/>
    <x v="0"/>
    <s v="Both"/>
    <x v="0"/>
    <s v="1 Year"/>
    <s v="Yes"/>
    <x v="6"/>
  </r>
  <r>
    <x v="169"/>
    <x v="156"/>
    <n v="499"/>
    <n v="126"/>
    <n v="0.74"/>
    <x v="1"/>
    <n v="1"/>
    <x v="0"/>
    <x v="6"/>
    <x v="0"/>
    <s v="Both"/>
    <x v="1"/>
    <s v="2 Year"/>
    <s v="Yes"/>
    <x v="11"/>
  </r>
  <r>
    <x v="170"/>
    <x v="157"/>
    <n v="1200"/>
    <n v="133"/>
    <n v="0.88"/>
    <x v="1"/>
    <n v="1"/>
    <x v="0"/>
    <x v="2"/>
    <x v="0"/>
    <s v="Both"/>
    <x v="1"/>
    <s v="2 Year"/>
    <s v="Yes"/>
    <x v="64"/>
  </r>
  <r>
    <x v="171"/>
    <x v="23"/>
    <n v="599"/>
    <n v="125"/>
    <n v="0.79"/>
    <x v="1"/>
    <n v="1"/>
    <x v="0"/>
    <x v="2"/>
    <x v="1"/>
    <s v="Both"/>
    <x v="1"/>
    <s v="2 Year"/>
    <s v="Yes"/>
    <x v="1"/>
  </r>
  <r>
    <x v="172"/>
    <x v="158"/>
    <n v="799"/>
    <n v="174"/>
    <n v="0.78"/>
    <x v="0"/>
    <n v="2"/>
    <x v="0"/>
    <x v="8"/>
    <x v="2"/>
    <s v="Indoor"/>
    <x v="1"/>
    <s v="2 Year"/>
    <s v="Yes"/>
    <x v="79"/>
  </r>
  <r>
    <x v="173"/>
    <x v="159"/>
    <n v="299"/>
    <n v="135"/>
    <n v="0.54"/>
    <x v="1"/>
    <n v="1"/>
    <x v="0"/>
    <x v="3"/>
    <x v="0"/>
    <s v="Both"/>
    <x v="0"/>
    <s v="1 Year"/>
    <s v="Yes"/>
    <x v="77"/>
  </r>
  <r>
    <x v="174"/>
    <x v="160"/>
    <n v="449"/>
    <n v="145"/>
    <n v="0.67"/>
    <x v="1"/>
    <n v="1"/>
    <x v="0"/>
    <x v="2"/>
    <x v="1"/>
    <s v="Indoor"/>
    <x v="0"/>
    <s v="2 Year"/>
    <s v="Yes"/>
    <x v="80"/>
  </r>
  <r>
    <x v="175"/>
    <x v="161"/>
    <n v="499"/>
    <n v="139"/>
    <n v="0.72"/>
    <x v="1"/>
    <n v="1"/>
    <x v="0"/>
    <x v="1"/>
    <x v="1"/>
    <s v="Both"/>
    <x v="0"/>
    <s v="2 Year"/>
    <s v="Yes"/>
    <x v="17"/>
  </r>
  <r>
    <x v="176"/>
    <x v="162"/>
    <n v="1200"/>
    <n v="125"/>
    <n v="0.89"/>
    <x v="1"/>
    <n v="1"/>
    <x v="0"/>
    <x v="8"/>
    <x v="1"/>
    <s v="Indoor"/>
    <x v="1"/>
    <s v="2 Year"/>
    <s v="No"/>
    <x v="81"/>
  </r>
  <r>
    <x v="177"/>
    <x v="163"/>
    <n v="295"/>
    <n v="127"/>
    <n v="0.56000000000000005"/>
    <x v="1"/>
    <n v="1"/>
    <x v="0"/>
    <x v="5"/>
    <x v="1"/>
    <s v="Indoor"/>
    <x v="1"/>
    <s v="2 Year"/>
    <s v="No"/>
    <x v="82"/>
  </r>
  <r>
    <x v="178"/>
    <x v="164"/>
    <n v="399"/>
    <n v="126"/>
    <n v="0.68"/>
    <x v="0"/>
    <n v="2"/>
    <x v="0"/>
    <x v="1"/>
    <x v="0"/>
    <s v="Both"/>
    <x v="1"/>
    <s v="2 Year"/>
    <s v="Yes"/>
    <x v="34"/>
  </r>
  <r>
    <x v="179"/>
    <x v="123"/>
    <n v="599"/>
    <n v="128"/>
    <n v="0.78"/>
    <x v="1"/>
    <n v="1"/>
    <x v="0"/>
    <x v="1"/>
    <x v="1"/>
    <s v="Both"/>
    <x v="1"/>
    <s v="2 Year"/>
    <s v="Yes"/>
    <x v="1"/>
  </r>
  <r>
    <x v="180"/>
    <x v="165"/>
    <n v="1399"/>
    <n v="129"/>
    <n v="0.9"/>
    <x v="1"/>
    <n v="1"/>
    <x v="0"/>
    <x v="8"/>
    <x v="1"/>
    <s v="Indoor"/>
    <x v="1"/>
    <s v="2 Year"/>
    <s v="No"/>
    <x v="83"/>
  </r>
  <r>
    <x v="181"/>
    <x v="166"/>
    <n v="399"/>
    <n v="127"/>
    <n v="0.68"/>
    <x v="0"/>
    <n v="2"/>
    <x v="0"/>
    <x v="4"/>
    <x v="1"/>
    <s v="Both"/>
    <x v="0"/>
    <s v="0.3 Year"/>
    <s v="Yes"/>
    <x v="84"/>
  </r>
  <r>
    <x v="182"/>
    <x v="167"/>
    <n v="499"/>
    <n v="128"/>
    <n v="0.74"/>
    <x v="1"/>
    <n v="1"/>
    <x v="0"/>
    <x v="1"/>
    <x v="0"/>
    <s v="Both"/>
    <x v="1"/>
    <s v="1 Year"/>
    <s v="Yes"/>
    <x v="36"/>
  </r>
  <r>
    <x v="183"/>
    <x v="168"/>
    <n v="349"/>
    <n v="163"/>
    <n v="0.53"/>
    <x v="1"/>
    <n v="1"/>
    <x v="0"/>
    <x v="8"/>
    <x v="1"/>
    <s v="Both"/>
    <x v="1"/>
    <s v="1 Year"/>
    <s v="Yes"/>
    <x v="85"/>
  </r>
  <r>
    <x v="184"/>
    <x v="169"/>
    <n v="788"/>
    <n v="132"/>
    <n v="0.83"/>
    <x v="1"/>
    <n v="1"/>
    <x v="0"/>
    <x v="9"/>
    <x v="0"/>
    <s v="Both"/>
    <x v="1"/>
    <s v="1 Year"/>
    <s v="Yes"/>
    <x v="86"/>
  </r>
  <r>
    <x v="185"/>
    <x v="170"/>
    <n v="449"/>
    <n v="140"/>
    <n v="0.68"/>
    <x v="1"/>
    <n v="1"/>
    <x v="0"/>
    <x v="2"/>
    <x v="0"/>
    <s v="Both"/>
    <x v="0"/>
    <s v="1 Year"/>
    <s v="Yes"/>
    <x v="8"/>
  </r>
  <r>
    <x v="186"/>
    <x v="171"/>
    <n v="749"/>
    <n v="130"/>
    <n v="0.82"/>
    <x v="1"/>
    <n v="1"/>
    <x v="0"/>
    <x v="6"/>
    <x v="0"/>
    <s v="Both"/>
    <x v="1"/>
    <s v="2 Year"/>
    <s v="Yes"/>
    <x v="25"/>
  </r>
  <r>
    <x v="187"/>
    <x v="172"/>
    <n v="494"/>
    <n v="129"/>
    <n v="0.73"/>
    <x v="0"/>
    <n v="2"/>
    <x v="0"/>
    <x v="1"/>
    <x v="1"/>
    <s v="Both"/>
    <x v="1"/>
    <s v="2 Year"/>
    <s v="Yes"/>
    <x v="1"/>
  </r>
  <r>
    <x v="188"/>
    <x v="173"/>
    <n v="499"/>
    <n v="155"/>
    <n v="0.68"/>
    <x v="1"/>
    <n v="1"/>
    <x v="0"/>
    <x v="2"/>
    <x v="0"/>
    <s v="Both"/>
    <x v="0"/>
    <s v="2 Year"/>
    <s v="Yes"/>
    <x v="87"/>
  </r>
  <r>
    <x v="189"/>
    <x v="174"/>
    <n v="349"/>
    <n v="239"/>
    <n v="0.31"/>
    <x v="1"/>
    <n v="1"/>
    <x v="0"/>
    <x v="7"/>
    <x v="1"/>
    <s v="Indoor"/>
    <x v="0"/>
    <s v="2 Year"/>
    <s v="No"/>
    <x v="88"/>
  </r>
  <r>
    <x v="190"/>
    <x v="175"/>
    <n v="999"/>
    <n v="129"/>
    <n v="0.87"/>
    <x v="0"/>
    <n v="2"/>
    <x v="0"/>
    <x v="8"/>
    <x v="0"/>
    <s v="Both"/>
    <x v="1"/>
    <s v="10 Year"/>
    <s v="Yes"/>
    <x v="89"/>
  </r>
  <r>
    <x v="191"/>
    <x v="176"/>
    <n v="799"/>
    <n v="128"/>
    <n v="0.83"/>
    <x v="0"/>
    <n v="2"/>
    <x v="0"/>
    <x v="2"/>
    <x v="1"/>
    <s v="Both"/>
    <x v="0"/>
    <s v="1 Year"/>
    <s v="Yes"/>
    <x v="90"/>
  </r>
  <r>
    <x v="192"/>
    <x v="177"/>
    <n v="766"/>
    <n v="128"/>
    <n v="0.83"/>
    <x v="1"/>
    <n v="1"/>
    <x v="0"/>
    <x v="8"/>
    <x v="1"/>
    <s v="Indoor"/>
    <x v="1"/>
    <s v="2 Year"/>
    <s v="No"/>
    <x v="91"/>
  </r>
  <r>
    <x v="193"/>
    <x v="166"/>
    <n v="399"/>
    <n v="126"/>
    <n v="0.68"/>
    <x v="0"/>
    <n v="2"/>
    <x v="0"/>
    <x v="4"/>
    <x v="1"/>
    <s v="Both"/>
    <x v="0"/>
    <s v="0.6 Year"/>
    <s v="Yes"/>
    <x v="84"/>
  </r>
  <r>
    <x v="194"/>
    <x v="178"/>
    <n v="499"/>
    <n v="139"/>
    <n v="0.72"/>
    <x v="0"/>
    <n v="2"/>
    <x v="0"/>
    <x v="3"/>
    <x v="1"/>
    <s v="Both"/>
    <x v="0"/>
    <s v="10 Year"/>
    <s v="Yes"/>
    <x v="17"/>
  </r>
  <r>
    <x v="195"/>
    <x v="179"/>
    <n v="499"/>
    <n v="160"/>
    <n v="0.67"/>
    <x v="1"/>
    <n v="1"/>
    <x v="0"/>
    <x v="8"/>
    <x v="0"/>
    <s v="Both"/>
    <x v="1"/>
    <s v="2 Year"/>
    <s v="Yes"/>
    <x v="11"/>
  </r>
  <r>
    <x v="196"/>
    <x v="180"/>
    <n v="499"/>
    <n v="135"/>
    <n v="0.72"/>
    <x v="1"/>
    <n v="1"/>
    <x v="0"/>
    <x v="9"/>
    <x v="1"/>
    <s v="Indoor"/>
    <x v="0"/>
    <s v="2 Year"/>
    <s v="Yes"/>
    <x v="92"/>
  </r>
  <r>
    <x v="197"/>
    <x v="181"/>
    <n v="419"/>
    <n v="124"/>
    <n v="0.7"/>
    <x v="1"/>
    <n v="1"/>
    <x v="0"/>
    <x v="2"/>
    <x v="1"/>
    <s v="Both"/>
    <x v="0"/>
    <s v="3 Year"/>
    <s v="Yes"/>
    <x v="7"/>
  </r>
  <r>
    <x v="198"/>
    <x v="182"/>
    <n v="499"/>
    <n v="127"/>
    <n v="0.74"/>
    <x v="1"/>
    <n v="1"/>
    <x v="0"/>
    <x v="1"/>
    <x v="2"/>
    <s v="Both"/>
    <x v="1"/>
    <s v="1 Year"/>
    <s v="Yes"/>
    <x v="1"/>
  </r>
  <r>
    <x v="199"/>
    <x v="183"/>
    <n v="499"/>
    <n v="132"/>
    <n v="0.73"/>
    <x v="0"/>
    <n v="2"/>
    <x v="0"/>
    <x v="2"/>
    <x v="1"/>
    <s v="Both"/>
    <x v="0"/>
    <s v="2 Year"/>
    <s v="Yes"/>
    <x v="7"/>
  </r>
  <r>
    <x v="200"/>
    <x v="184"/>
    <n v="199"/>
    <n v="127"/>
    <n v="0.36"/>
    <x v="1"/>
    <n v="1"/>
    <x v="0"/>
    <x v="2"/>
    <x v="0"/>
    <s v="Both"/>
    <x v="0"/>
    <s v="1 Year"/>
    <s v="Yes"/>
    <x v="6"/>
  </r>
  <r>
    <x v="201"/>
    <x v="185"/>
    <n v="399"/>
    <n v="140"/>
    <n v="0.64"/>
    <x v="0"/>
    <n v="2"/>
    <x v="0"/>
    <x v="2"/>
    <x v="0"/>
    <s v="Both"/>
    <x v="0"/>
    <s v="1 Year"/>
    <s v="Yes"/>
    <x v="93"/>
  </r>
  <r>
    <x v="202"/>
    <x v="186"/>
    <n v="350"/>
    <n v="120"/>
    <n v="0.65"/>
    <x v="1"/>
    <n v="1"/>
    <x v="0"/>
    <x v="6"/>
    <x v="0"/>
    <s v="Both"/>
    <x v="0"/>
    <s v="1 Year"/>
    <s v="Yes"/>
    <x v="1"/>
  </r>
  <r>
    <x v="203"/>
    <x v="72"/>
    <n v="499"/>
    <n v="122"/>
    <n v="0.75"/>
    <x v="1"/>
    <n v="1"/>
    <x v="0"/>
    <x v="2"/>
    <x v="0"/>
    <s v="Both"/>
    <x v="1"/>
    <s v="1 Year"/>
    <s v="Yes"/>
    <x v="6"/>
  </r>
  <r>
    <x v="204"/>
    <x v="187"/>
    <n v="400"/>
    <n v="153"/>
    <n v="0.61"/>
    <x v="1"/>
    <n v="1"/>
    <x v="0"/>
    <x v="5"/>
    <x v="0"/>
    <s v="Both"/>
    <x v="1"/>
    <s v="0.2 Year"/>
    <s v="Yes"/>
    <x v="8"/>
  </r>
  <r>
    <x v="205"/>
    <x v="188"/>
    <n v="386"/>
    <n v="125"/>
    <n v="0.67"/>
    <x v="1"/>
    <n v="1"/>
    <x v="0"/>
    <x v="1"/>
    <x v="1"/>
    <s v="Both"/>
    <x v="1"/>
    <s v="2 Year"/>
    <s v="Yes"/>
    <x v="94"/>
  </r>
  <r>
    <x v="206"/>
    <x v="189"/>
    <n v="599"/>
    <n v="130"/>
    <n v="0.78"/>
    <x v="1"/>
    <n v="1"/>
    <x v="0"/>
    <x v="2"/>
    <x v="1"/>
    <s v="Both"/>
    <x v="1"/>
    <s v="2 Year"/>
    <s v="Yes"/>
    <x v="1"/>
  </r>
  <r>
    <x v="207"/>
    <x v="190"/>
    <n v="449"/>
    <n v="249"/>
    <n v="0.44"/>
    <x v="1"/>
    <n v="1"/>
    <x v="0"/>
    <x v="7"/>
    <x v="2"/>
    <s v="Indoor"/>
    <x v="0"/>
    <s v="2 Year"/>
    <s v="No"/>
    <x v="88"/>
  </r>
  <r>
    <x v="208"/>
    <x v="191"/>
    <n v="1500"/>
    <n v="125"/>
    <n v="0.91"/>
    <x v="1"/>
    <n v="1"/>
    <x v="0"/>
    <x v="1"/>
    <x v="0"/>
    <s v="Both"/>
    <x v="1"/>
    <s v="2 Year"/>
    <s v="Yes"/>
    <x v="95"/>
  </r>
  <r>
    <x v="209"/>
    <x v="192"/>
    <n v="489"/>
    <n v="128"/>
    <n v="0.73"/>
    <x v="0"/>
    <n v="2"/>
    <x v="0"/>
    <x v="2"/>
    <x v="1"/>
    <s v="Both"/>
    <x v="1"/>
    <s v="2 Year"/>
    <s v="Yes"/>
    <x v="28"/>
  </r>
  <r>
    <x v="210"/>
    <x v="193"/>
    <n v="399"/>
    <n v="147"/>
    <n v="0.63"/>
    <x v="1"/>
    <n v="1"/>
    <x v="0"/>
    <x v="8"/>
    <x v="0"/>
    <s v="Both"/>
    <x v="0"/>
    <s v="1 Year"/>
    <s v="Yes"/>
    <x v="7"/>
  </r>
  <r>
    <x v="211"/>
    <x v="194"/>
    <n v="349"/>
    <n v="219"/>
    <n v="0.37"/>
    <x v="1"/>
    <n v="1"/>
    <x v="0"/>
    <x v="7"/>
    <x v="1"/>
    <s v="Indoor"/>
    <x v="0"/>
    <s v="2 Year"/>
    <s v="No"/>
    <x v="88"/>
  </r>
  <r>
    <x v="212"/>
    <x v="195"/>
    <n v="599"/>
    <n v="125"/>
    <n v="0.79"/>
    <x v="1"/>
    <n v="1"/>
    <x v="0"/>
    <x v="0"/>
    <x v="0"/>
    <s v="Both"/>
    <x v="0"/>
    <s v="2 Year"/>
    <s v="Yes"/>
    <x v="96"/>
  </r>
  <r>
    <x v="213"/>
    <x v="196"/>
    <n v="699"/>
    <n v="118"/>
    <n v="0.83"/>
    <x v="1"/>
    <n v="1"/>
    <x v="0"/>
    <x v="2"/>
    <x v="0"/>
    <s v="Both"/>
    <x v="0"/>
    <s v="2 Year"/>
    <s v="Yes"/>
    <x v="54"/>
  </r>
  <r>
    <x v="214"/>
    <x v="197"/>
    <n v="442"/>
    <n v="127"/>
    <n v="0.71"/>
    <x v="0"/>
    <n v="2"/>
    <x v="0"/>
    <x v="1"/>
    <x v="0"/>
    <s v="Both"/>
    <x v="1"/>
    <s v="2 Year"/>
    <s v="Yes"/>
    <x v="1"/>
  </r>
  <r>
    <x v="215"/>
    <x v="198"/>
    <n v="499"/>
    <n v="135"/>
    <n v="0.72"/>
    <x v="1"/>
    <n v="1"/>
    <x v="0"/>
    <x v="7"/>
    <x v="1"/>
    <s v="Indoor"/>
    <x v="0"/>
    <s v="1 Year"/>
    <s v="No"/>
    <x v="6"/>
  </r>
  <r>
    <x v="216"/>
    <x v="199"/>
    <n v="499"/>
    <n v="126"/>
    <n v="0.74"/>
    <x v="1"/>
    <n v="1"/>
    <x v="0"/>
    <x v="1"/>
    <x v="0"/>
    <s v="Both"/>
    <x v="1"/>
    <s v="0.5 Year"/>
    <s v="Yes"/>
    <x v="50"/>
  </r>
  <r>
    <x v="217"/>
    <x v="200"/>
    <n v="499"/>
    <n v="125"/>
    <n v="0.74"/>
    <x v="1"/>
    <n v="1"/>
    <x v="0"/>
    <x v="3"/>
    <x v="1"/>
    <s v="Both"/>
    <x v="0"/>
    <s v="0.6 Year"/>
    <s v="Yes"/>
    <x v="97"/>
  </r>
  <r>
    <x v="218"/>
    <x v="201"/>
    <n v="499"/>
    <n v="122"/>
    <n v="0.75"/>
    <x v="1"/>
    <n v="1"/>
    <x v="0"/>
    <x v="3"/>
    <x v="0"/>
    <s v="Both"/>
    <x v="1"/>
    <s v="1 Year"/>
    <s v="Yes"/>
    <x v="25"/>
  </r>
  <r>
    <x v="219"/>
    <x v="202"/>
    <n v="890"/>
    <n v="144"/>
    <n v="0.83"/>
    <x v="0"/>
    <n v="2"/>
    <x v="0"/>
    <x v="5"/>
    <x v="1"/>
    <s v="Both"/>
    <x v="1"/>
    <s v="2 Year"/>
    <s v="Yes"/>
    <x v="98"/>
  </r>
  <r>
    <x v="220"/>
    <x v="203"/>
    <n v="499"/>
    <n v="135"/>
    <n v="0.72"/>
    <x v="0"/>
    <n v="2"/>
    <x v="0"/>
    <x v="2"/>
    <x v="0"/>
    <s v="Both"/>
    <x v="0"/>
    <s v="1 Year"/>
    <s v="Yes"/>
    <x v="11"/>
  </r>
  <r>
    <x v="221"/>
    <x v="204"/>
    <n v="399"/>
    <n v="122"/>
    <n v="0.69"/>
    <x v="0"/>
    <n v="2"/>
    <x v="0"/>
    <x v="2"/>
    <x v="0"/>
    <s v="Both"/>
    <x v="0"/>
    <s v="2 Year"/>
    <s v="Yes"/>
    <x v="99"/>
  </r>
  <r>
    <x v="222"/>
    <x v="205"/>
    <n v="190"/>
    <n v="135"/>
    <n v="0.28000000000000003"/>
    <x v="0"/>
    <n v="2"/>
    <x v="0"/>
    <x v="2"/>
    <x v="1"/>
    <s v="Both"/>
    <x v="0"/>
    <s v="2 Year"/>
    <s v="Yes"/>
    <x v="100"/>
  </r>
  <r>
    <x v="223"/>
    <x v="206"/>
    <n v="1033"/>
    <n v="139"/>
    <n v="0.86"/>
    <x v="1"/>
    <n v="1"/>
    <x v="0"/>
    <x v="3"/>
    <x v="1"/>
    <s v="Both"/>
    <x v="1"/>
    <s v="2 Year"/>
    <s v="No"/>
    <x v="101"/>
  </r>
  <r>
    <x v="224"/>
    <x v="37"/>
    <n v="599"/>
    <n v="127"/>
    <n v="0.78"/>
    <x v="1"/>
    <n v="1"/>
    <x v="0"/>
    <x v="1"/>
    <x v="1"/>
    <s v="Both"/>
    <x v="1"/>
    <s v="2 Year"/>
    <s v="Yes"/>
    <x v="1"/>
  </r>
  <r>
    <x v="225"/>
    <x v="99"/>
    <n v="699"/>
    <n v="199"/>
    <n v="0.71"/>
    <x v="0"/>
    <n v="2"/>
    <x v="0"/>
    <x v="5"/>
    <x v="0"/>
    <s v="Both"/>
    <x v="1"/>
    <s v="10 Year"/>
    <s v="Yes"/>
    <x v="59"/>
  </r>
  <r>
    <x v="226"/>
    <x v="207"/>
    <n v="349"/>
    <n v="122"/>
    <n v="0.65"/>
    <x v="0"/>
    <n v="2"/>
    <x v="0"/>
    <x v="1"/>
    <x v="1"/>
    <s v="Both"/>
    <x v="1"/>
    <s v="2 Year"/>
    <s v="Yes"/>
    <x v="102"/>
  </r>
  <r>
    <x v="227"/>
    <x v="208"/>
    <n v="399"/>
    <n v="157"/>
    <n v="0.6"/>
    <x v="0"/>
    <n v="2"/>
    <x v="0"/>
    <x v="2"/>
    <x v="0"/>
    <s v="Both"/>
    <x v="1"/>
    <s v="2 Year"/>
    <s v="Yes"/>
    <x v="4"/>
  </r>
  <r>
    <x v="228"/>
    <x v="209"/>
    <n v="599"/>
    <n v="113"/>
    <n v="0.81"/>
    <x v="0"/>
    <n v="2"/>
    <x v="0"/>
    <x v="7"/>
    <x v="0"/>
    <s v="Both"/>
    <x v="1"/>
    <s v="2 Year"/>
    <s v="No"/>
    <x v="96"/>
  </r>
  <r>
    <x v="229"/>
    <x v="189"/>
    <n v="599"/>
    <n v="125"/>
    <n v="0.79"/>
    <x v="1"/>
    <n v="1"/>
    <x v="0"/>
    <x v="7"/>
    <x v="1"/>
    <s v="Both"/>
    <x v="1"/>
    <s v="2 Year"/>
    <s v="Yes"/>
    <x v="1"/>
  </r>
  <r>
    <x v="230"/>
    <x v="190"/>
    <n v="349"/>
    <n v="189"/>
    <n v="0.45"/>
    <x v="1"/>
    <n v="1"/>
    <x v="0"/>
    <x v="7"/>
    <x v="1"/>
    <s v="Indoor"/>
    <x v="0"/>
    <s v="2 Year"/>
    <s v="No"/>
    <x v="88"/>
  </r>
  <r>
    <x v="231"/>
    <x v="210"/>
    <n v="599"/>
    <n v="169"/>
    <n v="0.71"/>
    <x v="0"/>
    <n v="2"/>
    <x v="0"/>
    <x v="9"/>
    <x v="0"/>
    <s v="Both"/>
    <x v="0"/>
    <s v="2 Year"/>
    <s v="Yes"/>
    <x v="103"/>
  </r>
  <r>
    <x v="232"/>
    <x v="211"/>
    <n v="299"/>
    <n v="185"/>
    <n v="0.38"/>
    <x v="0"/>
    <n v="2"/>
    <x v="0"/>
    <x v="3"/>
    <x v="2"/>
    <s v="Both"/>
    <x v="0"/>
    <s v="0.5 Year"/>
    <s v="No"/>
    <x v="24"/>
  </r>
  <r>
    <x v="233"/>
    <x v="212"/>
    <n v="489"/>
    <n v="189"/>
    <n v="0.61"/>
    <x v="1"/>
    <n v="1"/>
    <x v="0"/>
    <x v="2"/>
    <x v="0"/>
    <s v="Both"/>
    <x v="0"/>
    <s v="1 Year"/>
    <s v="Yes"/>
    <x v="8"/>
  </r>
  <r>
    <x v="234"/>
    <x v="213"/>
    <n v="299"/>
    <n v="115"/>
    <n v="0.61"/>
    <x v="1"/>
    <n v="1"/>
    <x v="0"/>
    <x v="1"/>
    <x v="1"/>
    <s v="Both"/>
    <x v="1"/>
    <s v="2 Year"/>
    <s v="Yes"/>
    <x v="104"/>
  </r>
  <r>
    <x v="235"/>
    <x v="214"/>
    <n v="499"/>
    <n v="134"/>
    <n v="0.73"/>
    <x v="0"/>
    <n v="2"/>
    <x v="0"/>
    <x v="2"/>
    <x v="0"/>
    <s v="Both"/>
    <x v="0"/>
    <s v="2 Year"/>
    <s v="Yes"/>
    <x v="103"/>
  </r>
  <r>
    <x v="236"/>
    <x v="215"/>
    <n v="200"/>
    <n v="149"/>
    <n v="0.25"/>
    <x v="1"/>
    <n v="1"/>
    <x v="0"/>
    <x v="1"/>
    <x v="0"/>
    <s v="Both"/>
    <x v="1"/>
    <s v="2 Year"/>
    <s v="Yes"/>
    <x v="85"/>
  </r>
  <r>
    <x v="237"/>
    <x v="216"/>
    <n v="499"/>
    <n v="125"/>
    <n v="0.74"/>
    <x v="0"/>
    <n v="2"/>
    <x v="0"/>
    <x v="2"/>
    <x v="0"/>
    <s v="Both"/>
    <x v="1"/>
    <s v="0.2 Year"/>
    <s v="Yes"/>
    <x v="105"/>
  </r>
  <r>
    <x v="238"/>
    <x v="217"/>
    <n v="1000"/>
    <n v="143"/>
    <n v="0.85"/>
    <x v="1"/>
    <n v="1"/>
    <x v="0"/>
    <x v="3"/>
    <x v="0"/>
    <s v="Both"/>
    <x v="1"/>
    <s v="2 Year"/>
    <s v="Yes"/>
    <x v="101"/>
  </r>
  <r>
    <x v="239"/>
    <x v="218"/>
    <n v="499"/>
    <n v="159"/>
    <n v="0.68"/>
    <x v="1"/>
    <n v="1"/>
    <x v="0"/>
    <x v="1"/>
    <x v="1"/>
    <s v="Both"/>
    <x v="1"/>
    <s v="2 Year"/>
    <s v="Yes"/>
    <x v="68"/>
  </r>
  <r>
    <x v="240"/>
    <x v="219"/>
    <n v="200"/>
    <n v="135"/>
    <n v="0.32"/>
    <x v="1"/>
    <n v="1"/>
    <x v="0"/>
    <x v="8"/>
    <x v="0"/>
    <s v="Both"/>
    <x v="1"/>
    <s v="0.6 Year"/>
    <s v="Yes"/>
    <x v="72"/>
  </r>
  <r>
    <x v="241"/>
    <x v="220"/>
    <n v="595"/>
    <n v="137"/>
    <n v="0.76"/>
    <x v="1"/>
    <n v="1"/>
    <x v="0"/>
    <x v="1"/>
    <x v="0"/>
    <s v="Both"/>
    <x v="0"/>
    <s v="2 Year"/>
    <s v="Yes"/>
    <x v="106"/>
  </r>
  <r>
    <x v="242"/>
    <x v="221"/>
    <n v="499"/>
    <n v="129"/>
    <n v="0.74"/>
    <x v="0"/>
    <n v="2"/>
    <x v="0"/>
    <x v="6"/>
    <x v="1"/>
    <s v="Indoor"/>
    <x v="0"/>
    <s v="1 Year"/>
    <s v="No"/>
    <x v="26"/>
  </r>
  <r>
    <x v="243"/>
    <x v="222"/>
    <n v="449"/>
    <n v="125"/>
    <n v="0.72"/>
    <x v="0"/>
    <n v="2"/>
    <x v="0"/>
    <x v="9"/>
    <x v="0"/>
    <s v="Both"/>
    <x v="0"/>
    <s v="2 Year"/>
    <s v="No"/>
    <x v="67"/>
  </r>
  <r>
    <x v="244"/>
    <x v="223"/>
    <n v="499"/>
    <n v="145"/>
    <n v="0.7"/>
    <x v="1"/>
    <n v="1"/>
    <x v="0"/>
    <x v="0"/>
    <x v="0"/>
    <s v="Indoor"/>
    <x v="0"/>
    <s v="2 Year"/>
    <s v="No"/>
    <x v="107"/>
  </r>
  <r>
    <x v="245"/>
    <x v="224"/>
    <n v="299"/>
    <n v="119"/>
    <n v="0.6"/>
    <x v="1"/>
    <n v="1"/>
    <x v="0"/>
    <x v="1"/>
    <x v="1"/>
    <s v="Both"/>
    <x v="0"/>
    <s v="2 Year"/>
    <s v="Yes"/>
    <x v="108"/>
  </r>
  <r>
    <x v="246"/>
    <x v="225"/>
    <n v="489"/>
    <n v="145"/>
    <n v="0.7"/>
    <x v="1"/>
    <n v="1"/>
    <x v="0"/>
    <x v="1"/>
    <x v="1"/>
    <s v="Both"/>
    <x v="1"/>
    <s v="2 Year"/>
    <s v="Yes"/>
    <x v="5"/>
  </r>
  <r>
    <x v="247"/>
    <x v="226"/>
    <n v="599"/>
    <n v="126"/>
    <n v="0.78"/>
    <x v="1"/>
    <n v="1"/>
    <x v="0"/>
    <x v="9"/>
    <x v="1"/>
    <s v="Both"/>
    <x v="0"/>
    <s v="1 Year"/>
    <s v="Yes"/>
    <x v="109"/>
  </r>
  <r>
    <x v="248"/>
    <x v="26"/>
    <n v="299"/>
    <n v="124"/>
    <n v="0.57999999999999996"/>
    <x v="1"/>
    <n v="1"/>
    <x v="0"/>
    <x v="3"/>
    <x v="0"/>
    <s v="Both"/>
    <x v="1"/>
    <s v="2 Year"/>
    <s v="Yes"/>
    <x v="16"/>
  </r>
  <r>
    <x v="249"/>
    <x v="227"/>
    <n v="625"/>
    <n v="122"/>
    <n v="0.8"/>
    <x v="1"/>
    <n v="1"/>
    <x v="0"/>
    <x v="7"/>
    <x v="1"/>
    <s v="Both"/>
    <x v="0"/>
    <s v="2 Year"/>
    <s v="No"/>
    <x v="25"/>
  </r>
  <r>
    <x v="250"/>
    <x v="122"/>
    <n v="499"/>
    <n v="141"/>
    <n v="0.71"/>
    <x v="1"/>
    <n v="1"/>
    <x v="0"/>
    <x v="1"/>
    <x v="1"/>
    <s v="Both"/>
    <x v="1"/>
    <s v="2 Year"/>
    <s v="Yes"/>
    <x v="68"/>
  </r>
  <r>
    <x v="251"/>
    <x v="228"/>
    <n v="499"/>
    <n v="135"/>
    <n v="0.72"/>
    <x v="1"/>
    <n v="1"/>
    <x v="0"/>
    <x v="1"/>
    <x v="0"/>
    <s v="Both"/>
    <x v="0"/>
    <s v="1 Year"/>
    <s v="Yes"/>
    <x v="6"/>
  </r>
  <r>
    <x v="252"/>
    <x v="229"/>
    <n v="399"/>
    <n v="125"/>
    <n v="0.68"/>
    <x v="1"/>
    <n v="1"/>
    <x v="0"/>
    <x v="1"/>
    <x v="1"/>
    <s v="Both"/>
    <x v="1"/>
    <s v="2 Year"/>
    <s v="Yes"/>
    <x v="4"/>
  </r>
  <r>
    <x v="253"/>
    <x v="212"/>
    <n v="489"/>
    <n v="189"/>
    <n v="0.61"/>
    <x v="1"/>
    <n v="1"/>
    <x v="0"/>
    <x v="2"/>
    <x v="0"/>
    <s v="Both"/>
    <x v="0"/>
    <s v="1 Year"/>
    <s v="Yes"/>
    <x v="8"/>
  </r>
  <r>
    <x v="254"/>
    <x v="230"/>
    <n v="399"/>
    <n v="127"/>
    <n v="0.68"/>
    <x v="1"/>
    <n v="1"/>
    <x v="0"/>
    <x v="0"/>
    <x v="1"/>
    <s v="Both"/>
    <x v="1"/>
    <s v="1 Year"/>
    <s v="No"/>
    <x v="110"/>
  </r>
  <r>
    <x v="255"/>
    <x v="132"/>
    <n v="596"/>
    <n v="126"/>
    <n v="0.78"/>
    <x v="1"/>
    <n v="1"/>
    <x v="0"/>
    <x v="5"/>
    <x v="1"/>
    <s v="Both"/>
    <x v="1"/>
    <s v="2 Year"/>
    <s v="Yes"/>
    <x v="1"/>
  </r>
  <r>
    <x v="256"/>
    <x v="231"/>
    <n v="499"/>
    <n v="130"/>
    <n v="0.73"/>
    <x v="0"/>
    <n v="2"/>
    <x v="0"/>
    <x v="4"/>
    <x v="0"/>
    <s v="Indoor"/>
    <x v="0"/>
    <s v="1 Year"/>
    <s v="Yes"/>
    <x v="6"/>
  </r>
  <r>
    <x v="257"/>
    <x v="232"/>
    <n v="499"/>
    <n v="130"/>
    <n v="0.73"/>
    <x v="1"/>
    <n v="1"/>
    <x v="0"/>
    <x v="6"/>
    <x v="1"/>
    <s v="Indoor"/>
    <x v="0"/>
    <s v="2 Year"/>
    <s v="Yes"/>
    <x v="111"/>
  </r>
  <r>
    <x v="258"/>
    <x v="197"/>
    <n v="599"/>
    <n v="126"/>
    <n v="0.78"/>
    <x v="1"/>
    <n v="1"/>
    <x v="0"/>
    <x v="1"/>
    <x v="1"/>
    <s v="Both"/>
    <x v="1"/>
    <s v="2 Year"/>
    <s v="Yes"/>
    <x v="1"/>
  </r>
  <r>
    <x v="259"/>
    <x v="85"/>
    <n v="299"/>
    <n v="166"/>
    <n v="0.44"/>
    <x v="0"/>
    <n v="2"/>
    <x v="0"/>
    <x v="1"/>
    <x v="1"/>
    <s v="Both"/>
    <x v="1"/>
    <s v="2 Year"/>
    <s v="Yes"/>
    <x v="52"/>
  </r>
  <r>
    <x v="260"/>
    <x v="233"/>
    <n v="349"/>
    <n v="199"/>
    <n v="0.42"/>
    <x v="1"/>
    <n v="1"/>
    <x v="0"/>
    <x v="7"/>
    <x v="1"/>
    <s v="Indoor"/>
    <x v="0"/>
    <s v="2 Year"/>
    <s v="No"/>
    <x v="88"/>
  </r>
  <r>
    <x v="261"/>
    <x v="234"/>
    <n v="499"/>
    <n v="150"/>
    <n v="0.69"/>
    <x v="1"/>
    <n v="1"/>
    <x v="0"/>
    <x v="2"/>
    <x v="0"/>
    <s v="Both"/>
    <x v="1"/>
    <s v="2 Year"/>
    <s v="Yes"/>
    <x v="95"/>
  </r>
  <r>
    <x v="262"/>
    <x v="235"/>
    <n v="299"/>
    <n v="127"/>
    <n v="0.56999999999999995"/>
    <x v="1"/>
    <n v="1"/>
    <x v="0"/>
    <x v="0"/>
    <x v="1"/>
    <s v="Both"/>
    <x v="1"/>
    <s v="1 Year"/>
    <s v="No"/>
    <x v="35"/>
  </r>
  <r>
    <x v="263"/>
    <x v="236"/>
    <n v="449"/>
    <n v="178"/>
    <n v="0.6"/>
    <x v="1"/>
    <n v="1"/>
    <x v="0"/>
    <x v="3"/>
    <x v="0"/>
    <s v="Both"/>
    <x v="0"/>
    <s v="2 Year"/>
    <s v="Yes"/>
    <x v="8"/>
  </r>
  <r>
    <x v="264"/>
    <x v="237"/>
    <n v="499"/>
    <n v="135"/>
    <n v="0.72"/>
    <x v="1"/>
    <n v="1"/>
    <x v="0"/>
    <x v="2"/>
    <x v="1"/>
    <s v="Both"/>
    <x v="1"/>
    <s v="1 Year"/>
    <s v="Yes"/>
    <x v="6"/>
  </r>
  <r>
    <x v="265"/>
    <x v="238"/>
    <n v="649"/>
    <n v="145"/>
    <n v="0.77"/>
    <x v="1"/>
    <n v="1"/>
    <x v="0"/>
    <x v="6"/>
    <x v="1"/>
    <s v="Both"/>
    <x v="0"/>
    <s v="2 Year"/>
    <s v="Yes"/>
    <x v="112"/>
  </r>
  <r>
    <x v="266"/>
    <x v="239"/>
    <n v="320"/>
    <n v="121"/>
    <n v="0.62"/>
    <x v="1"/>
    <n v="1"/>
    <x v="0"/>
    <x v="5"/>
    <x v="1"/>
    <s v="Both"/>
    <x v="1"/>
    <s v="15 Year"/>
    <s v="Yes"/>
    <x v="113"/>
  </r>
  <r>
    <x v="267"/>
    <x v="240"/>
    <n v="366"/>
    <n v="134"/>
    <n v="0.63"/>
    <x v="1"/>
    <n v="1"/>
    <x v="0"/>
    <x v="3"/>
    <x v="0"/>
    <s v="Both"/>
    <x v="0"/>
    <s v="0 Year"/>
    <s v="No"/>
    <x v="18"/>
  </r>
  <r>
    <x v="268"/>
    <x v="45"/>
    <n v="399"/>
    <n v="134"/>
    <n v="0.66"/>
    <x v="0"/>
    <n v="2"/>
    <x v="0"/>
    <x v="3"/>
    <x v="0"/>
    <s v="Both"/>
    <x v="1"/>
    <s v="1 Year"/>
    <s v="Yes"/>
    <x v="1"/>
  </r>
  <r>
    <x v="269"/>
    <x v="241"/>
    <n v="499"/>
    <n v="150"/>
    <n v="0.69"/>
    <x v="0"/>
    <n v="2"/>
    <x v="0"/>
    <x v="1"/>
    <x v="1"/>
    <s v="Both"/>
    <x v="1"/>
    <s v="1 Year"/>
    <s v="Yes"/>
    <x v="6"/>
  </r>
  <r>
    <x v="270"/>
    <x v="242"/>
    <n v="499"/>
    <n v="237"/>
    <n v="0.52"/>
    <x v="2"/>
    <n v="3"/>
    <x v="0"/>
    <x v="6"/>
    <x v="1"/>
    <s v="Indoor"/>
    <x v="1"/>
    <s v="2 Year"/>
    <s v="Yes"/>
    <x v="15"/>
  </r>
  <r>
    <x v="271"/>
    <x v="243"/>
    <n v="499"/>
    <n v="126"/>
    <n v="0.74"/>
    <x v="0"/>
    <n v="2"/>
    <x v="0"/>
    <x v="5"/>
    <x v="1"/>
    <s v="Both"/>
    <x v="1"/>
    <s v="2 Year"/>
    <s v="Yes"/>
    <x v="114"/>
  </r>
  <r>
    <x v="272"/>
    <x v="244"/>
    <n v="499"/>
    <n v="139"/>
    <n v="0.72"/>
    <x v="1"/>
    <n v="1"/>
    <x v="0"/>
    <x v="2"/>
    <x v="0"/>
    <s v="Both"/>
    <x v="0"/>
    <s v="2 Year"/>
    <s v="Yes"/>
    <x v="11"/>
  </r>
  <r>
    <x v="273"/>
    <x v="245"/>
    <n v="299"/>
    <n v="171"/>
    <n v="0.42"/>
    <x v="0"/>
    <n v="2"/>
    <x v="0"/>
    <x v="2"/>
    <x v="0"/>
    <s v="Both"/>
    <x v="1"/>
    <s v="1 Year"/>
    <s v="Yes"/>
    <x v="11"/>
  </r>
  <r>
    <x v="274"/>
    <x v="246"/>
    <n v="300"/>
    <n v="113"/>
    <n v="0.62"/>
    <x v="1"/>
    <n v="1"/>
    <x v="0"/>
    <x v="0"/>
    <x v="0"/>
    <s v="Indoor"/>
    <x v="1"/>
    <s v="2 Year"/>
    <s v="Yes"/>
    <x v="76"/>
  </r>
  <r>
    <x v="275"/>
    <x v="247"/>
    <n v="346"/>
    <n v="165"/>
    <n v="0.52"/>
    <x v="0"/>
    <n v="2"/>
    <x v="0"/>
    <x v="4"/>
    <x v="1"/>
    <s v="Indoor"/>
    <x v="1"/>
    <s v="3 Year"/>
    <s v="No"/>
    <x v="115"/>
  </r>
  <r>
    <x v="276"/>
    <x v="46"/>
    <n v="489"/>
    <n v="158"/>
    <n v="0.67"/>
    <x v="0"/>
    <n v="2"/>
    <x v="0"/>
    <x v="2"/>
    <x v="1"/>
    <s v="Both"/>
    <x v="1"/>
    <s v="2 Year"/>
    <s v="Yes"/>
    <x v="28"/>
  </r>
  <r>
    <x v="277"/>
    <x v="248"/>
    <n v="599"/>
    <n v="120"/>
    <n v="0.79"/>
    <x v="1"/>
    <n v="1"/>
    <x v="0"/>
    <x v="1"/>
    <x v="1"/>
    <s v="Both"/>
    <x v="1"/>
    <s v="2 Year"/>
    <s v="Yes"/>
    <x v="1"/>
  </r>
  <r>
    <x v="278"/>
    <x v="249"/>
    <n v="399"/>
    <n v="136"/>
    <n v="0.65"/>
    <x v="1"/>
    <n v="1"/>
    <x v="0"/>
    <x v="1"/>
    <x v="0"/>
    <s v="Both"/>
    <x v="0"/>
    <s v="2 Year"/>
    <s v="Yes"/>
    <x v="6"/>
  </r>
  <r>
    <x v="279"/>
    <x v="250"/>
    <n v="499"/>
    <n v="155"/>
    <n v="0.68"/>
    <x v="1"/>
    <n v="1"/>
    <x v="0"/>
    <x v="2"/>
    <x v="1"/>
    <s v="Both"/>
    <x v="0"/>
    <s v="2 Year"/>
    <s v="Yes"/>
    <x v="116"/>
  </r>
  <r>
    <x v="280"/>
    <x v="114"/>
    <n v="199"/>
    <n v="126"/>
    <n v="0.36"/>
    <x v="1"/>
    <n v="1"/>
    <x v="0"/>
    <x v="1"/>
    <x v="0"/>
    <s v="Both"/>
    <x v="0"/>
    <s v="2 Year"/>
    <s v="Yes"/>
    <x v="6"/>
  </r>
  <r>
    <x v="281"/>
    <x v="251"/>
    <n v="599"/>
    <n v="135"/>
    <n v="0.77"/>
    <x v="1"/>
    <n v="1"/>
    <x v="0"/>
    <x v="6"/>
    <x v="1"/>
    <s v="Both"/>
    <x v="1"/>
    <s v="2 Year"/>
    <s v="Yes"/>
    <x v="1"/>
  </r>
  <r>
    <x v="282"/>
    <x v="252"/>
    <n v="499"/>
    <n v="127"/>
    <n v="0.74"/>
    <x v="0"/>
    <n v="2"/>
    <x v="0"/>
    <x v="3"/>
    <x v="0"/>
    <s v="Both"/>
    <x v="0"/>
    <s v="1 Year"/>
    <s v="Yes"/>
    <x v="6"/>
  </r>
  <r>
    <x v="283"/>
    <x v="253"/>
    <n v="499"/>
    <n v="127"/>
    <n v="0.74"/>
    <x v="1"/>
    <n v="1"/>
    <x v="0"/>
    <x v="2"/>
    <x v="0"/>
    <s v="Both"/>
    <x v="0"/>
    <s v="2 Year"/>
    <s v="Yes"/>
    <x v="96"/>
  </r>
  <r>
    <x v="284"/>
    <x v="254"/>
    <n v="699"/>
    <n v="125"/>
    <n v="0.82"/>
    <x v="1"/>
    <n v="1"/>
    <x v="0"/>
    <x v="6"/>
    <x v="1"/>
    <s v="Indoor"/>
    <x v="1"/>
    <s v="2 Year"/>
    <s v="Yes"/>
    <x v="117"/>
  </r>
  <r>
    <x v="285"/>
    <x v="255"/>
    <n v="499"/>
    <n v="163"/>
    <n v="0.67"/>
    <x v="1"/>
    <n v="1"/>
    <x v="0"/>
    <x v="0"/>
    <x v="1"/>
    <s v="Both"/>
    <x v="1"/>
    <s v="0.5 Year"/>
    <s v="Yes"/>
    <x v="50"/>
  </r>
  <r>
    <x v="286"/>
    <x v="256"/>
    <n v="399"/>
    <n v="128"/>
    <n v="0.67"/>
    <x v="1"/>
    <n v="1"/>
    <x v="0"/>
    <x v="1"/>
    <x v="2"/>
    <s v="Indoor"/>
    <x v="1"/>
    <s v="2 Year"/>
    <s v="Yes"/>
    <x v="118"/>
  </r>
  <r>
    <x v="287"/>
    <x v="257"/>
    <n v="499"/>
    <n v="139"/>
    <n v="0.72"/>
    <x v="1"/>
    <n v="1"/>
    <x v="0"/>
    <x v="0"/>
    <x v="0"/>
    <s v="Both"/>
    <x v="1"/>
    <s v="1 Year"/>
    <s v="Yes"/>
    <x v="119"/>
  </r>
  <r>
    <x v="288"/>
    <x v="258"/>
    <n v="499"/>
    <n v="155"/>
    <n v="0.68"/>
    <x v="1"/>
    <n v="1"/>
    <x v="0"/>
    <x v="6"/>
    <x v="1"/>
    <s v="Both"/>
    <x v="1"/>
    <s v="2 Year"/>
    <s v="Yes"/>
    <x v="1"/>
  </r>
  <r>
    <x v="289"/>
    <x v="259"/>
    <n v="498"/>
    <n v="180"/>
    <n v="0.63"/>
    <x v="1"/>
    <n v="1"/>
    <x v="0"/>
    <x v="8"/>
    <x v="0"/>
    <s v="Both"/>
    <x v="1"/>
    <s v="1 Year"/>
    <s v="Yes"/>
    <x v="120"/>
  </r>
  <r>
    <x v="290"/>
    <x v="260"/>
    <n v="299"/>
    <n v="155"/>
    <n v="0.48"/>
    <x v="1"/>
    <n v="1"/>
    <x v="0"/>
    <x v="9"/>
    <x v="1"/>
    <s v="Both"/>
    <x v="0"/>
    <s v="2 Year"/>
    <s v="No"/>
    <x v="121"/>
  </r>
  <r>
    <x v="291"/>
    <x v="261"/>
    <n v="299"/>
    <n v="143"/>
    <n v="0.52"/>
    <x v="0"/>
    <n v="2"/>
    <x v="0"/>
    <x v="1"/>
    <x v="0"/>
    <s v="Both"/>
    <x v="0"/>
    <s v="2 Year"/>
    <s v="Yes"/>
    <x v="122"/>
  </r>
  <r>
    <x v="292"/>
    <x v="262"/>
    <n v="570"/>
    <n v="135"/>
    <n v="0.76"/>
    <x v="1"/>
    <n v="1"/>
    <x v="0"/>
    <x v="5"/>
    <x v="1"/>
    <s v="Both"/>
    <x v="1"/>
    <s v="2 Year"/>
    <s v="Yes"/>
    <x v="123"/>
  </r>
  <r>
    <x v="293"/>
    <x v="263"/>
    <n v="599"/>
    <n v="129"/>
    <n v="0.78"/>
    <x v="1"/>
    <n v="1"/>
    <x v="0"/>
    <x v="2"/>
    <x v="1"/>
    <s v="Both"/>
    <x v="1"/>
    <s v="2 Year"/>
    <s v="Yes"/>
    <x v="1"/>
  </r>
  <r>
    <x v="294"/>
    <x v="264"/>
    <n v="599"/>
    <n v="199"/>
    <n v="0.66"/>
    <x v="1"/>
    <n v="1"/>
    <x v="0"/>
    <x v="8"/>
    <x v="1"/>
    <s v="Both"/>
    <x v="1"/>
    <s v="3 Year"/>
    <s v="Yes"/>
    <x v="124"/>
  </r>
  <r>
    <x v="295"/>
    <x v="265"/>
    <n v="399"/>
    <n v="120"/>
    <n v="0.69"/>
    <x v="1"/>
    <n v="1"/>
    <x v="0"/>
    <x v="1"/>
    <x v="1"/>
    <s v="Both"/>
    <x v="1"/>
    <s v="2 Year"/>
    <s v="Yes"/>
    <x v="125"/>
  </r>
  <r>
    <x v="296"/>
    <x v="79"/>
    <n v="499"/>
    <n v="139"/>
    <n v="0.72"/>
    <x v="0"/>
    <n v="2"/>
    <x v="0"/>
    <x v="1"/>
    <x v="1"/>
    <s v="Both"/>
    <x v="1"/>
    <s v="2 Year"/>
    <s v="Yes"/>
    <x v="1"/>
  </r>
  <r>
    <x v="297"/>
    <x v="266"/>
    <n v="294"/>
    <n v="113"/>
    <n v="0.61"/>
    <x v="1"/>
    <n v="1"/>
    <x v="0"/>
    <x v="10"/>
    <x v="0"/>
    <s v="Both"/>
    <x v="0"/>
    <s v="2 Year"/>
    <s v="Yes"/>
    <x v="36"/>
  </r>
  <r>
    <x v="298"/>
    <x v="267"/>
    <n v="399"/>
    <n v="126"/>
    <n v="0.68"/>
    <x v="1"/>
    <n v="1"/>
    <x v="0"/>
    <x v="1"/>
    <x v="0"/>
    <s v="Both"/>
    <x v="1"/>
    <s v="1 Year"/>
    <s v="Yes"/>
    <x v="77"/>
  </r>
  <r>
    <x v="299"/>
    <x v="268"/>
    <n v="399"/>
    <n v="148"/>
    <n v="0.62"/>
    <x v="1"/>
    <n v="1"/>
    <x v="0"/>
    <x v="2"/>
    <x v="2"/>
    <s v="Indoor"/>
    <x v="1"/>
    <s v="0.5 Year"/>
    <s v="Yes"/>
    <x v="16"/>
  </r>
  <r>
    <x v="300"/>
    <x v="269"/>
    <n v="379"/>
    <n v="134"/>
    <n v="0.64"/>
    <x v="0"/>
    <n v="2"/>
    <x v="0"/>
    <x v="2"/>
    <x v="0"/>
    <s v="Outdoor"/>
    <x v="0"/>
    <s v="1 Year"/>
    <s v="Yes"/>
    <x v="11"/>
  </r>
  <r>
    <x v="301"/>
    <x v="270"/>
    <n v="399"/>
    <n v="126"/>
    <n v="0.68"/>
    <x v="1"/>
    <n v="1"/>
    <x v="0"/>
    <x v="3"/>
    <x v="0"/>
    <s v="Both"/>
    <x v="1"/>
    <s v="0.6 Year"/>
    <s v="Yes"/>
    <x v="1"/>
  </r>
  <r>
    <x v="302"/>
    <x v="271"/>
    <n v="359"/>
    <n v="130"/>
    <n v="0.63"/>
    <x v="0"/>
    <n v="2"/>
    <x v="0"/>
    <x v="2"/>
    <x v="2"/>
    <s v="Both"/>
    <x v="0"/>
    <s v="0.3 Year"/>
    <s v="Yes"/>
    <x v="126"/>
  </r>
  <r>
    <x v="303"/>
    <x v="272"/>
    <n v="499"/>
    <n v="122"/>
    <n v="0.75"/>
    <x v="1"/>
    <n v="1"/>
    <x v="0"/>
    <x v="3"/>
    <x v="0"/>
    <s v="Both"/>
    <x v="0"/>
    <s v="1 Year"/>
    <s v="Yes"/>
    <x v="6"/>
  </r>
  <r>
    <x v="304"/>
    <x v="273"/>
    <n v="499"/>
    <n v="135"/>
    <n v="0.72"/>
    <x v="1"/>
    <n v="1"/>
    <x v="0"/>
    <x v="3"/>
    <x v="1"/>
    <s v="Both"/>
    <x v="1"/>
    <s v="2 Year"/>
    <s v="Yes"/>
    <x v="68"/>
  </r>
  <r>
    <x v="305"/>
    <x v="274"/>
    <n v="299"/>
    <n v="125"/>
    <n v="0.57999999999999996"/>
    <x v="1"/>
    <n v="1"/>
    <x v="0"/>
    <x v="1"/>
    <x v="0"/>
    <s v="Both"/>
    <x v="1"/>
    <s v="2 Year"/>
    <s v="Yes"/>
    <x v="127"/>
  </r>
  <r>
    <x v="306"/>
    <x v="275"/>
    <n v="363"/>
    <n v="120"/>
    <n v="0.66"/>
    <x v="1"/>
    <n v="1"/>
    <x v="0"/>
    <x v="1"/>
    <x v="1"/>
    <s v="Both"/>
    <x v="1"/>
    <s v="2 Year"/>
    <s v="Yes"/>
    <x v="128"/>
  </r>
  <r>
    <x v="307"/>
    <x v="276"/>
    <n v="399"/>
    <n v="199"/>
    <n v="0.5"/>
    <x v="1"/>
    <n v="1"/>
    <x v="0"/>
    <x v="2"/>
    <x v="0"/>
    <s v="Both"/>
    <x v="0"/>
    <s v="1 Year"/>
    <s v="Yes"/>
    <x v="57"/>
  </r>
  <r>
    <x v="308"/>
    <x v="277"/>
    <n v="699"/>
    <n v="120"/>
    <n v="0.82"/>
    <x v="1"/>
    <n v="1"/>
    <x v="0"/>
    <x v="1"/>
    <x v="0"/>
    <s v="Both"/>
    <x v="0"/>
    <s v="2 Year"/>
    <s v="Yes"/>
    <x v="129"/>
  </r>
  <r>
    <x v="309"/>
    <x v="278"/>
    <n v="499"/>
    <n v="121"/>
    <n v="0.75"/>
    <x v="1"/>
    <n v="1"/>
    <x v="0"/>
    <x v="0"/>
    <x v="2"/>
    <s v="Indoor"/>
    <x v="0"/>
    <s v="2 Year"/>
    <s v="No"/>
    <x v="37"/>
  </r>
  <r>
    <x v="310"/>
    <x v="279"/>
    <n v="549"/>
    <n v="135"/>
    <n v="0.75"/>
    <x v="1"/>
    <n v="1"/>
    <x v="0"/>
    <x v="1"/>
    <x v="2"/>
    <s v="Both"/>
    <x v="1"/>
    <s v="1 Year"/>
    <s v="Yes"/>
    <x v="130"/>
  </r>
  <r>
    <x v="311"/>
    <x v="280"/>
    <n v="999"/>
    <n v="149"/>
    <n v="0.85"/>
    <x v="0"/>
    <n v="2"/>
    <x v="0"/>
    <x v="2"/>
    <x v="1"/>
    <s v="Both"/>
    <x v="0"/>
    <s v="2 Year"/>
    <s v="No"/>
    <x v="131"/>
  </r>
  <r>
    <x v="312"/>
    <x v="281"/>
    <n v="399"/>
    <n v="118"/>
    <n v="0.7"/>
    <x v="0"/>
    <n v="2"/>
    <x v="0"/>
    <x v="1"/>
    <x v="1"/>
    <s v="Both"/>
    <x v="0"/>
    <s v="2 Year"/>
    <s v="Yes"/>
    <x v="132"/>
  </r>
  <r>
    <x v="313"/>
    <x v="282"/>
    <n v="599"/>
    <n v="122"/>
    <n v="0.79"/>
    <x v="1"/>
    <n v="1"/>
    <x v="0"/>
    <x v="3"/>
    <x v="1"/>
    <s v="Both"/>
    <x v="0"/>
    <s v="2 Year"/>
    <s v="Yes"/>
    <x v="31"/>
  </r>
  <r>
    <x v="314"/>
    <x v="283"/>
    <n v="599"/>
    <n v="115"/>
    <n v="0.8"/>
    <x v="1"/>
    <n v="1"/>
    <x v="0"/>
    <x v="1"/>
    <x v="1"/>
    <s v="Both"/>
    <x v="1"/>
    <s v="2 Year"/>
    <s v="Yes"/>
    <x v="1"/>
  </r>
  <r>
    <x v="315"/>
    <x v="284"/>
    <n v="418"/>
    <n v="109"/>
    <n v="0.73"/>
    <x v="1"/>
    <n v="1"/>
    <x v="0"/>
    <x v="2"/>
    <x v="1"/>
    <s v="Both"/>
    <x v="0"/>
    <s v="1 Year"/>
    <s v="Yes"/>
    <x v="7"/>
  </r>
  <r>
    <x v="316"/>
    <x v="103"/>
    <n v="599"/>
    <n v="122"/>
    <n v="0.79"/>
    <x v="1"/>
    <n v="1"/>
    <x v="0"/>
    <x v="2"/>
    <x v="1"/>
    <s v="Both"/>
    <x v="1"/>
    <s v="2 Year"/>
    <s v="Yes"/>
    <x v="1"/>
  </r>
  <r>
    <x v="317"/>
    <x v="285"/>
    <n v="590"/>
    <n v="162"/>
    <n v="0.72"/>
    <x v="1"/>
    <n v="1"/>
    <x v="0"/>
    <x v="5"/>
    <x v="1"/>
    <s v="Both"/>
    <x v="1"/>
    <s v="2 Year"/>
    <s v="Yes"/>
    <x v="133"/>
  </r>
  <r>
    <x v="318"/>
    <x v="286"/>
    <n v="598"/>
    <n v="138"/>
    <n v="0.76"/>
    <x v="1"/>
    <n v="1"/>
    <x v="0"/>
    <x v="2"/>
    <x v="1"/>
    <s v="Both"/>
    <x v="1"/>
    <s v="2 Year"/>
    <s v="Yes"/>
    <x v="1"/>
  </r>
  <r>
    <x v="319"/>
    <x v="287"/>
    <n v="399"/>
    <n v="136"/>
    <n v="0.65"/>
    <x v="1"/>
    <n v="1"/>
    <x v="0"/>
    <x v="3"/>
    <x v="0"/>
    <s v="Both"/>
    <x v="0"/>
    <s v="1 Year"/>
    <s v="Yes"/>
    <x v="8"/>
  </r>
  <r>
    <x v="320"/>
    <x v="288"/>
    <n v="259"/>
    <n v="199"/>
    <n v="0.23"/>
    <x v="1"/>
    <n v="1"/>
    <x v="0"/>
    <x v="1"/>
    <x v="1"/>
    <s v="Both"/>
    <x v="1"/>
    <s v="1 Year"/>
    <s v="Yes"/>
    <x v="85"/>
  </r>
  <r>
    <x v="321"/>
    <x v="289"/>
    <n v="599"/>
    <n v="127"/>
    <n v="0.78"/>
    <x v="1"/>
    <n v="1"/>
    <x v="0"/>
    <x v="1"/>
    <x v="1"/>
    <s v="Both"/>
    <x v="1"/>
    <s v="2 Year"/>
    <s v="Yes"/>
    <x v="1"/>
  </r>
  <r>
    <x v="322"/>
    <x v="290"/>
    <n v="499"/>
    <n v="242"/>
    <n v="0.51"/>
    <x v="1"/>
    <n v="1"/>
    <x v="0"/>
    <x v="8"/>
    <x v="1"/>
    <s v="Both"/>
    <x v="1"/>
    <s v="10 Year"/>
    <s v="Yes"/>
    <x v="134"/>
  </r>
  <r>
    <x v="323"/>
    <x v="291"/>
    <n v="599"/>
    <n v="128"/>
    <n v="0.78"/>
    <x v="0"/>
    <n v="2"/>
    <x v="0"/>
    <x v="2"/>
    <x v="1"/>
    <s v="Indoor"/>
    <x v="0"/>
    <s v="2 Year"/>
    <s v="Yes"/>
    <x v="135"/>
  </r>
  <r>
    <x v="324"/>
    <x v="292"/>
    <n v="599"/>
    <n v="134"/>
    <n v="0.77"/>
    <x v="1"/>
    <n v="1"/>
    <x v="0"/>
    <x v="4"/>
    <x v="0"/>
    <s v="Indoor"/>
    <x v="0"/>
    <s v="2 Year"/>
    <s v="Yes"/>
    <x v="136"/>
  </r>
  <r>
    <x v="325"/>
    <x v="293"/>
    <n v="599"/>
    <n v="126"/>
    <n v="0.78"/>
    <x v="1"/>
    <n v="1"/>
    <x v="0"/>
    <x v="1"/>
    <x v="1"/>
    <s v="Both"/>
    <x v="1"/>
    <s v="2 Year"/>
    <s v="Yes"/>
    <x v="1"/>
  </r>
  <r>
    <x v="326"/>
    <x v="294"/>
    <n v="349"/>
    <n v="199"/>
    <n v="0.42"/>
    <x v="1"/>
    <n v="1"/>
    <x v="0"/>
    <x v="7"/>
    <x v="1"/>
    <s v="Indoor"/>
    <x v="0"/>
    <s v="2 Year"/>
    <s v="No"/>
    <x v="88"/>
  </r>
  <r>
    <x v="327"/>
    <x v="295"/>
    <n v="299"/>
    <n v="170"/>
    <n v="0.43"/>
    <x v="1"/>
    <n v="1"/>
    <x v="0"/>
    <x v="8"/>
    <x v="1"/>
    <s v="Indoor"/>
    <x v="1"/>
    <s v="12 Year"/>
    <s v="Yes"/>
    <x v="137"/>
  </r>
  <r>
    <x v="328"/>
    <x v="296"/>
    <n v="299"/>
    <n v="142"/>
    <n v="0.52"/>
    <x v="1"/>
    <n v="1"/>
    <x v="0"/>
    <x v="6"/>
    <x v="0"/>
    <s v="Both"/>
    <x v="0"/>
    <s v="2 Year"/>
    <s v="Yes"/>
    <x v="138"/>
  </r>
  <r>
    <x v="329"/>
    <x v="297"/>
    <n v="600"/>
    <n v="121"/>
    <n v="0.79"/>
    <x v="1"/>
    <n v="1"/>
    <x v="0"/>
    <x v="1"/>
    <x v="1"/>
    <s v="Both"/>
    <x v="1"/>
    <s v="2 Year"/>
    <s v="Yes"/>
    <x v="54"/>
  </r>
  <r>
    <x v="330"/>
    <x v="220"/>
    <n v="595"/>
    <n v="137"/>
    <n v="0.76"/>
    <x v="1"/>
    <n v="1"/>
    <x v="0"/>
    <x v="1"/>
    <x v="0"/>
    <s v="Both"/>
    <x v="0"/>
    <s v="2 Year"/>
    <s v="Yes"/>
    <x v="106"/>
  </r>
  <r>
    <x v="331"/>
    <x v="298"/>
    <n v="349"/>
    <n v="199"/>
    <n v="0.42"/>
    <x v="1"/>
    <n v="1"/>
    <x v="0"/>
    <x v="7"/>
    <x v="1"/>
    <s v="Indoor"/>
    <x v="0"/>
    <s v="2 Year"/>
    <s v="No"/>
    <x v="88"/>
  </r>
  <r>
    <x v="332"/>
    <x v="83"/>
    <n v="421"/>
    <n v="171"/>
    <n v="0.59"/>
    <x v="1"/>
    <n v="1"/>
    <x v="0"/>
    <x v="8"/>
    <x v="1"/>
    <s v="Indoor"/>
    <x v="1"/>
    <s v="12 Year"/>
    <s v="Yes"/>
    <x v="32"/>
  </r>
  <r>
    <x v="333"/>
    <x v="210"/>
    <n v="599"/>
    <n v="169"/>
    <n v="0.71"/>
    <x v="0"/>
    <n v="2"/>
    <x v="0"/>
    <x v="9"/>
    <x v="0"/>
    <s v="Both"/>
    <x v="0"/>
    <s v="2 Year"/>
    <s v="Yes"/>
    <x v="103"/>
  </r>
  <r>
    <x v="334"/>
    <x v="299"/>
    <n v="399"/>
    <n v="249"/>
    <n v="0.37"/>
    <x v="1"/>
    <n v="1"/>
    <x v="0"/>
    <x v="8"/>
    <x v="1"/>
    <s v="Indoor"/>
    <x v="1"/>
    <s v="2 Year"/>
    <s v="No"/>
    <x v="88"/>
  </r>
  <r>
    <x v="335"/>
    <x v="18"/>
    <n v="349"/>
    <n v="129"/>
    <n v="0.63"/>
    <x v="1"/>
    <n v="1"/>
    <x v="0"/>
    <x v="1"/>
    <x v="0"/>
    <s v="Both"/>
    <x v="0"/>
    <s v="1 Year"/>
    <s v="Yes"/>
    <x v="8"/>
  </r>
  <r>
    <x v="336"/>
    <x v="214"/>
    <n v="499"/>
    <n v="134"/>
    <n v="0.73"/>
    <x v="0"/>
    <n v="2"/>
    <x v="0"/>
    <x v="2"/>
    <x v="0"/>
    <s v="Both"/>
    <x v="0"/>
    <s v="2 Year"/>
    <s v="Yes"/>
    <x v="103"/>
  </r>
  <r>
    <x v="337"/>
    <x v="300"/>
    <n v="399"/>
    <n v="125"/>
    <n v="0.68"/>
    <x v="1"/>
    <n v="1"/>
    <x v="0"/>
    <x v="3"/>
    <x v="1"/>
    <s v="Both"/>
    <x v="0"/>
    <s v="2 Year"/>
    <s v="Yes"/>
    <x v="17"/>
  </r>
  <r>
    <x v="338"/>
    <x v="301"/>
    <n v="499"/>
    <n v="123"/>
    <n v="0.75"/>
    <x v="1"/>
    <n v="1"/>
    <x v="0"/>
    <x v="3"/>
    <x v="1"/>
    <s v="Both"/>
    <x v="0"/>
    <s v="2 Year"/>
    <s v="Yes"/>
    <x v="11"/>
  </r>
  <r>
    <x v="339"/>
    <x v="302"/>
    <n v="396"/>
    <n v="177"/>
    <n v="0.55000000000000004"/>
    <x v="1"/>
    <n v="1"/>
    <x v="0"/>
    <x v="5"/>
    <x v="0"/>
    <s v="Both"/>
    <x v="1"/>
    <s v="2 Year"/>
    <s v="Yes"/>
    <x v="139"/>
  </r>
  <r>
    <x v="340"/>
    <x v="303"/>
    <n v="299"/>
    <n v="135"/>
    <n v="0.54"/>
    <x v="1"/>
    <n v="1"/>
    <x v="0"/>
    <x v="3"/>
    <x v="0"/>
    <s v="Both"/>
    <x v="1"/>
    <s v="0.6 Year"/>
    <s v="Yes"/>
    <x v="72"/>
  </r>
  <r>
    <x v="341"/>
    <x v="304"/>
    <n v="499"/>
    <n v="165"/>
    <n v="0.66"/>
    <x v="1"/>
    <n v="1"/>
    <x v="0"/>
    <x v="2"/>
    <x v="0"/>
    <s v="Both"/>
    <x v="0"/>
    <s v="1 Year"/>
    <s v="Yes"/>
    <x v="6"/>
  </r>
  <r>
    <x v="342"/>
    <x v="305"/>
    <n v="399"/>
    <n v="133"/>
    <n v="0.66"/>
    <x v="1"/>
    <s v=""/>
    <x v="0"/>
    <x v="1"/>
    <x v="0"/>
    <s v="Both"/>
    <x v="0"/>
    <s v="1 Year"/>
    <s v="Yes"/>
    <x v="8"/>
  </r>
  <r>
    <x v="343"/>
    <x v="306"/>
    <n v="449"/>
    <n v="179"/>
    <n v="0.6"/>
    <x v="0"/>
    <n v="2"/>
    <x v="0"/>
    <x v="3"/>
    <x v="1"/>
    <s v="Both"/>
    <x v="0"/>
    <s v="0.5 Year"/>
    <s v="Yes"/>
    <x v="24"/>
  </r>
  <r>
    <x v="344"/>
    <x v="307"/>
    <n v="349"/>
    <n v="199"/>
    <n v="0.42"/>
    <x v="1"/>
    <n v="1"/>
    <x v="0"/>
    <x v="11"/>
    <x v="1"/>
    <s v="Indoor"/>
    <x v="0"/>
    <s v="2 Year"/>
    <s v="No"/>
    <x v="88"/>
  </r>
  <r>
    <x v="345"/>
    <x v="308"/>
    <n v="499"/>
    <n v="249"/>
    <n v="0.5"/>
    <x v="1"/>
    <n v="1"/>
    <x v="0"/>
    <x v="7"/>
    <x v="1"/>
    <s v="Indoor"/>
    <x v="0"/>
    <s v="2 Year"/>
    <s v="No"/>
    <x v="88"/>
  </r>
  <r>
    <x v="346"/>
    <x v="309"/>
    <n v="399"/>
    <n v="199"/>
    <n v="0.5"/>
    <x v="1"/>
    <n v="1"/>
    <x v="0"/>
    <x v="0"/>
    <x v="1"/>
    <s v="Indoor"/>
    <x v="1"/>
    <s v="2 Year"/>
    <s v="No"/>
    <x v="88"/>
  </r>
  <r>
    <x v="347"/>
    <x v="310"/>
    <n v="349"/>
    <n v="199"/>
    <n v="0.42"/>
    <x v="1"/>
    <n v="1"/>
    <x v="0"/>
    <x v="0"/>
    <x v="1"/>
    <s v="Indoor"/>
    <x v="0"/>
    <s v="2 Year"/>
    <s v="No"/>
    <x v="88"/>
  </r>
  <r>
    <x v="348"/>
    <x v="311"/>
    <n v="349"/>
    <n v="199"/>
    <n v="0.42"/>
    <x v="1"/>
    <n v="1"/>
    <x v="0"/>
    <x v="5"/>
    <x v="1"/>
    <s v="Indoor"/>
    <x v="0"/>
    <s v="2 Year"/>
    <s v="No"/>
    <x v="88"/>
  </r>
  <r>
    <x v="349"/>
    <x v="312"/>
    <n v="599"/>
    <n v="229"/>
    <n v="0.61"/>
    <x v="1"/>
    <n v="1"/>
    <x v="0"/>
    <x v="8"/>
    <x v="1"/>
    <s v="Indoor"/>
    <x v="1"/>
    <s v="2 Year"/>
    <s v="No"/>
    <x v="140"/>
  </r>
  <r>
    <x v="350"/>
    <x v="313"/>
    <n v="349"/>
    <n v="199"/>
    <n v="0.42"/>
    <x v="1"/>
    <n v="1"/>
    <x v="0"/>
    <x v="5"/>
    <x v="1"/>
    <s v="Indoor"/>
    <x v="0"/>
    <s v="2 Year"/>
    <s v="No"/>
    <x v="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2EEE5-2810-44AA-8325-5C778A52B45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5">
    <pivotField showAll="0"/>
    <pivotField dataField="1" showAll="0"/>
    <pivotField numFmtId="1" showAll="0"/>
    <pivotField numFmtId="2" showAll="0"/>
    <pivotField numFmtId="9" showAll="0"/>
    <pivotField showAll="0"/>
    <pivotField showAll="0"/>
    <pivotField showAll="0"/>
    <pivotField showAll="0">
      <items count="13">
        <item x="4"/>
        <item x="8"/>
        <item x="6"/>
        <item x="11"/>
        <item x="2"/>
        <item x="0"/>
        <item x="1"/>
        <item x="3"/>
        <item x="7"/>
        <item x="5"/>
        <item x="9"/>
        <item x="10"/>
        <item t="default"/>
      </items>
    </pivotField>
    <pivotField showAll="0"/>
    <pivotField showAll="0"/>
    <pivotField showAll="0"/>
    <pivotField showAll="0"/>
    <pivotField showAll="0"/>
    <pivotField axis="axisRow" showAll="0" measureFilter="1" sortType="descending">
      <items count="142">
        <item x="64"/>
        <item x="67"/>
        <item x="45"/>
        <item x="120"/>
        <item x="97"/>
        <item x="8"/>
        <item x="68"/>
        <item x="5"/>
        <item x="28"/>
        <item x="12"/>
        <item x="44"/>
        <item x="135"/>
        <item x="20"/>
        <item x="102"/>
        <item x="118"/>
        <item x="43"/>
        <item x="103"/>
        <item x="14"/>
        <item x="91"/>
        <item x="121"/>
        <item x="49"/>
        <item x="38"/>
        <item x="6"/>
        <item x="19"/>
        <item x="74"/>
        <item x="50"/>
        <item x="56"/>
        <item x="138"/>
        <item x="69"/>
        <item x="17"/>
        <item x="80"/>
        <item x="39"/>
        <item x="124"/>
        <item x="7"/>
        <item x="3"/>
        <item x="59"/>
        <item x="58"/>
        <item x="129"/>
        <item x="123"/>
        <item x="137"/>
        <item x="42"/>
        <item x="32"/>
        <item x="140"/>
        <item x="4"/>
        <item x="95"/>
        <item x="48"/>
        <item x="35"/>
        <item x="46"/>
        <item x="18"/>
        <item x="1"/>
        <item x="126"/>
        <item x="31"/>
        <item x="131"/>
        <item x="84"/>
        <item x="24"/>
        <item x="72"/>
        <item x="30"/>
        <item x="125"/>
        <item x="15"/>
        <item x="53"/>
        <item x="79"/>
        <item x="78"/>
        <item x="66"/>
        <item x="128"/>
        <item x="116"/>
        <item x="94"/>
        <item x="51"/>
        <item x="37"/>
        <item x="136"/>
        <item x="11"/>
        <item x="98"/>
        <item x="115"/>
        <item x="27"/>
        <item x="76"/>
        <item x="101"/>
        <item x="29"/>
        <item x="90"/>
        <item x="65"/>
        <item x="119"/>
        <item x="99"/>
        <item x="75"/>
        <item x="33"/>
        <item x="104"/>
        <item x="9"/>
        <item x="85"/>
        <item x="21"/>
        <item x="114"/>
        <item x="70"/>
        <item x="71"/>
        <item x="134"/>
        <item x="77"/>
        <item x="10"/>
        <item x="36"/>
        <item x="52"/>
        <item x="55"/>
        <item x="73"/>
        <item x="22"/>
        <item x="111"/>
        <item x="122"/>
        <item x="113"/>
        <item x="107"/>
        <item x="13"/>
        <item x="132"/>
        <item x="92"/>
        <item x="40"/>
        <item x="25"/>
        <item x="0"/>
        <item x="83"/>
        <item x="34"/>
        <item x="96"/>
        <item x="60"/>
        <item x="87"/>
        <item x="47"/>
        <item x="2"/>
        <item x="105"/>
        <item x="54"/>
        <item x="108"/>
        <item x="130"/>
        <item x="63"/>
        <item x="106"/>
        <item x="41"/>
        <item x="109"/>
        <item x="117"/>
        <item x="89"/>
        <item x="62"/>
        <item x="133"/>
        <item x="127"/>
        <item x="100"/>
        <item x="93"/>
        <item x="23"/>
        <item x="88"/>
        <item x="110"/>
        <item x="16"/>
        <item x="86"/>
        <item x="139"/>
        <item x="81"/>
        <item x="61"/>
        <item x="82"/>
        <item x="112"/>
        <item x="57"/>
        <item x="26"/>
        <item t="default"/>
      </items>
      <autoSortScope>
        <pivotArea dataOnly="0" outline="0" fieldPosition="0">
          <references count="1">
            <reference field="4294967294" count="1" selected="0">
              <x v="0"/>
            </reference>
          </references>
        </pivotArea>
      </autoSortScope>
    </pivotField>
  </pivotFields>
  <rowFields count="1">
    <field x="14"/>
  </rowFields>
  <rowItems count="7">
    <i>
      <x v="49"/>
    </i>
    <i>
      <x v="22"/>
    </i>
    <i>
      <x v="130"/>
    </i>
    <i>
      <x v="5"/>
    </i>
    <i>
      <x v="69"/>
    </i>
    <i>
      <x v="8"/>
    </i>
    <i t="grand">
      <x/>
    </i>
  </rowItems>
  <colItems count="1">
    <i/>
  </colItems>
  <dataFields count="1">
    <dataField name="Count of name"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D5A0F4-9A3E-4B55-BF70-4F826C843F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5">
    <pivotField showAll="0"/>
    <pivotField dataField="1" showAll="0"/>
    <pivotField numFmtId="1" showAll="0"/>
    <pivotField numFmtId="2" showAll="0"/>
    <pivotField numFmtId="9" showAll="0"/>
    <pivotField showAll="0"/>
    <pivotField showAll="0"/>
    <pivotField showAll="0"/>
    <pivotField showAll="0">
      <items count="13">
        <item x="4"/>
        <item x="8"/>
        <item x="6"/>
        <item x="11"/>
        <item x="2"/>
        <item x="0"/>
        <item x="1"/>
        <item x="3"/>
        <item x="7"/>
        <item x="5"/>
        <item x="9"/>
        <item x="10"/>
        <item t="default"/>
      </items>
    </pivotField>
    <pivotField showAll="0"/>
    <pivotField showAll="0"/>
    <pivotField axis="axisRow" showAll="0">
      <items count="3">
        <item x="0"/>
        <item x="1"/>
        <item t="default"/>
      </items>
    </pivotField>
    <pivotField showAll="0"/>
    <pivotField showAll="0"/>
    <pivotField showAll="0"/>
  </pivotFields>
  <rowFields count="1">
    <field x="11"/>
  </rowFields>
  <rowItems count="3">
    <i>
      <x/>
    </i>
    <i>
      <x v="1"/>
    </i>
    <i t="grand">
      <x/>
    </i>
  </rowItems>
  <colItems count="1">
    <i/>
  </colItems>
  <dataFields count="1">
    <dataField name="Count of name"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2" format="6">
      <pivotArea type="data" outline="0" fieldPosition="0">
        <references count="2">
          <reference field="4294967294" count="1" selected="0">
            <x v="0"/>
          </reference>
          <reference field="11" count="1" selected="0">
            <x v="1"/>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2534ED-859F-4A97-9C3B-56F53D930F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5">
    <pivotField showAll="0"/>
    <pivotField dataField="1" showAll="0">
      <items count="315">
        <item x="107"/>
        <item x="157"/>
        <item x="117"/>
        <item x="222"/>
        <item x="64"/>
        <item x="259"/>
        <item x="200"/>
        <item x="212"/>
        <item x="236"/>
        <item x="21"/>
        <item x="89"/>
        <item x="187"/>
        <item x="170"/>
        <item x="10"/>
        <item x="305"/>
        <item x="19"/>
        <item x="18"/>
        <item x="287"/>
        <item x="138"/>
        <item x="218"/>
        <item x="122"/>
        <item x="273"/>
        <item x="225"/>
        <item x="6"/>
        <item x="150"/>
        <item x="49"/>
        <item x="192"/>
        <item x="57"/>
        <item x="46"/>
        <item x="105"/>
        <item x="127"/>
        <item x="39"/>
        <item x="14"/>
        <item x="96"/>
        <item x="63"/>
        <item x="291"/>
        <item x="28"/>
        <item x="207"/>
        <item x="256"/>
        <item x="62"/>
        <item x="210"/>
        <item x="214"/>
        <item x="16"/>
        <item x="177"/>
        <item x="260"/>
        <item x="74"/>
        <item x="148"/>
        <item x="55"/>
        <item x="129"/>
        <item x="116"/>
        <item x="198"/>
        <item x="184"/>
        <item x="147"/>
        <item x="272"/>
        <item x="252"/>
        <item x="237"/>
        <item x="114"/>
        <item x="241"/>
        <item x="9"/>
        <item x="249"/>
        <item x="65"/>
        <item x="155"/>
        <item x="60"/>
        <item x="228"/>
        <item x="7"/>
        <item x="304"/>
        <item x="125"/>
        <item x="231"/>
        <item x="111"/>
        <item x="72"/>
        <item x="27"/>
        <item x="25"/>
        <item x="142"/>
        <item x="199"/>
        <item x="76"/>
        <item x="255"/>
        <item x="94"/>
        <item x="296"/>
        <item x="130"/>
        <item x="178"/>
        <item x="161"/>
        <item x="144"/>
        <item x="47"/>
        <item x="22"/>
        <item x="140"/>
        <item x="300"/>
        <item x="160"/>
        <item x="56"/>
        <item x="264"/>
        <item x="181"/>
        <item x="8"/>
        <item x="193"/>
        <item x="82"/>
        <item x="120"/>
        <item x="284"/>
        <item x="183"/>
        <item x="108"/>
        <item x="68"/>
        <item x="3"/>
        <item x="99"/>
        <item x="98"/>
        <item x="277"/>
        <item x="262"/>
        <item x="295"/>
        <item x="61"/>
        <item x="83"/>
        <item x="43"/>
        <item x="312"/>
        <item x="141"/>
        <item x="208"/>
        <item x="229"/>
        <item x="66"/>
        <item x="4"/>
        <item x="234"/>
        <item x="191"/>
        <item x="73"/>
        <item x="51"/>
        <item x="235"/>
        <item x="75"/>
        <item x="70"/>
        <item x="92"/>
        <item x="240"/>
        <item x="135"/>
        <item x="67"/>
        <item x="24"/>
        <item x="251"/>
        <item x="81"/>
        <item x="126"/>
        <item x="52"/>
        <item x="186"/>
        <item x="283"/>
        <item x="97"/>
        <item x="263"/>
        <item x="182"/>
        <item x="124"/>
        <item x="189"/>
        <item x="289"/>
        <item x="132"/>
        <item x="102"/>
        <item x="45"/>
        <item x="146"/>
        <item x="1"/>
        <item x="258"/>
        <item x="37"/>
        <item x="23"/>
        <item x="84"/>
        <item x="5"/>
        <item x="293"/>
        <item x="121"/>
        <item x="197"/>
        <item x="88"/>
        <item x="123"/>
        <item x="270"/>
        <item x="248"/>
        <item x="33"/>
        <item x="103"/>
        <item x="286"/>
        <item x="32"/>
        <item x="79"/>
        <item x="172"/>
        <item x="139"/>
        <item x="69"/>
        <item x="78"/>
        <item x="271"/>
        <item x="282"/>
        <item x="143"/>
        <item x="42"/>
        <item x="280"/>
        <item x="166"/>
        <item x="306"/>
        <item x="211"/>
        <item x="34"/>
        <item x="80"/>
        <item x="219"/>
        <item x="303"/>
        <item x="136"/>
        <item x="41"/>
        <item x="265"/>
        <item x="242"/>
        <item x="17"/>
        <item x="86"/>
        <item x="158"/>
        <item x="154"/>
        <item x="115"/>
        <item x="275"/>
        <item x="250"/>
        <item x="188"/>
        <item x="134"/>
        <item x="77"/>
        <item x="110"/>
        <item x="54"/>
        <item x="278"/>
        <item x="292"/>
        <item x="179"/>
        <item x="244"/>
        <item x="156"/>
        <item x="245"/>
        <item x="269"/>
        <item x="301"/>
        <item x="203"/>
        <item x="112"/>
        <item x="13"/>
        <item x="202"/>
        <item x="247"/>
        <item x="38"/>
        <item x="152"/>
        <item x="149"/>
        <item x="246"/>
        <item x="217"/>
        <item x="206"/>
        <item x="40"/>
        <item x="93"/>
        <item x="109"/>
        <item x="176"/>
        <item x="113"/>
        <item x="257"/>
        <item x="204"/>
        <item x="145"/>
        <item x="48"/>
        <item x="213"/>
        <item x="11"/>
        <item x="215"/>
        <item x="288"/>
        <item x="168"/>
        <item x="29"/>
        <item x="243"/>
        <item x="131"/>
        <item x="133"/>
        <item x="290"/>
        <item x="159"/>
        <item x="153"/>
        <item x="267"/>
        <item x="12"/>
        <item x="266"/>
        <item x="167"/>
        <item x="53"/>
        <item x="87"/>
        <item x="85"/>
        <item x="91"/>
        <item x="137"/>
        <item x="30"/>
        <item x="128"/>
        <item x="232"/>
        <item x="261"/>
        <item x="239"/>
        <item x="223"/>
        <item x="15"/>
        <item x="281"/>
        <item x="180"/>
        <item x="58"/>
        <item x="44"/>
        <item x="201"/>
        <item x="171"/>
        <item x="227"/>
        <item x="35"/>
        <item x="0"/>
        <item x="165"/>
        <item x="50"/>
        <item x="164"/>
        <item x="253"/>
        <item x="209"/>
        <item x="195"/>
        <item x="100"/>
        <item x="173"/>
        <item x="71"/>
        <item x="2"/>
        <item x="216"/>
        <item x="118"/>
        <item x="90"/>
        <item x="151"/>
        <item x="297"/>
        <item x="196"/>
        <item x="224"/>
        <item x="279"/>
        <item x="106"/>
        <item x="220"/>
        <item x="59"/>
        <item x="226"/>
        <item x="254"/>
        <item x="175"/>
        <item x="104"/>
        <item x="285"/>
        <item x="274"/>
        <item x="205"/>
        <item x="185"/>
        <item x="31"/>
        <item x="310"/>
        <item x="194"/>
        <item x="294"/>
        <item x="298"/>
        <item x="190"/>
        <item x="233"/>
        <item x="174"/>
        <item x="311"/>
        <item x="307"/>
        <item x="313"/>
        <item x="308"/>
        <item x="309"/>
        <item x="299"/>
        <item x="230"/>
        <item x="26"/>
        <item x="268"/>
        <item x="20"/>
        <item x="119"/>
        <item x="169"/>
        <item x="302"/>
        <item x="162"/>
        <item x="101"/>
        <item x="163"/>
        <item x="238"/>
        <item x="276"/>
        <item x="95"/>
        <item x="36"/>
        <item x="221"/>
        <item t="default"/>
      </items>
    </pivotField>
    <pivotField numFmtId="1" showAll="0"/>
    <pivotField numFmtId="2" showAll="0"/>
    <pivotField numFmtId="9" showAll="0"/>
    <pivotField showAll="0"/>
    <pivotField showAll="0"/>
    <pivotField axis="axisRow" showAll="0">
      <items count="2">
        <item x="0"/>
        <item t="default"/>
      </items>
    </pivotField>
    <pivotField showAll="0">
      <items count="13">
        <item x="4"/>
        <item x="8"/>
        <item x="6"/>
        <item x="11"/>
        <item x="2"/>
        <item x="0"/>
        <item x="1"/>
        <item x="3"/>
        <item x="7"/>
        <item x="5"/>
        <item x="9"/>
        <item x="10"/>
        <item t="default"/>
      </items>
    </pivotField>
    <pivotField showAll="0"/>
    <pivotField showAll="0"/>
    <pivotField showAll="0"/>
    <pivotField showAll="0"/>
    <pivotField showAll="0"/>
    <pivotField showAll="0"/>
  </pivotFields>
  <rowFields count="1">
    <field x="7"/>
  </rowFields>
  <rowItems count="2">
    <i>
      <x/>
    </i>
    <i t="grand">
      <x/>
    </i>
  </rowItems>
  <colItems count="1">
    <i/>
  </colItems>
  <dataFields count="1">
    <dataField name="Count of name" fld="1" subtotal="count"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7"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BBE7FA-70A3-4A1B-B199-2BD2B5C315D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5">
    <pivotField showAll="0"/>
    <pivotField dataField="1" showAll="0"/>
    <pivotField numFmtId="1" showAll="0"/>
    <pivotField numFmtId="2" showAll="0"/>
    <pivotField numFmtId="9" showAll="0"/>
    <pivotField showAll="0"/>
    <pivotField showAll="0"/>
    <pivotField showAll="0"/>
    <pivotField showAll="0">
      <items count="13">
        <item x="4"/>
        <item x="8"/>
        <item x="6"/>
        <item x="11"/>
        <item x="2"/>
        <item x="0"/>
        <item x="1"/>
        <item x="3"/>
        <item x="7"/>
        <item x="5"/>
        <item x="9"/>
        <item x="10"/>
        <item t="default"/>
      </items>
    </pivotField>
    <pivotField axis="axisRow" showAll="0">
      <items count="4">
        <item x="1"/>
        <item x="2"/>
        <item x="0"/>
        <item t="default"/>
      </items>
    </pivotField>
    <pivotField showAll="0"/>
    <pivotField showAll="0"/>
    <pivotField showAll="0"/>
    <pivotField showAll="0"/>
    <pivotField showAll="0"/>
  </pivotFields>
  <rowFields count="1">
    <field x="9"/>
  </rowFields>
  <rowItems count="4">
    <i>
      <x/>
    </i>
    <i>
      <x v="1"/>
    </i>
    <i>
      <x v="2"/>
    </i>
    <i t="grand">
      <x/>
    </i>
  </rowItems>
  <colItems count="1">
    <i/>
  </colItems>
  <dataFields count="1">
    <dataField name="Count of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D1EB41-938B-48AA-A553-DBD19023D4D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5">
    <pivotField dataField="1" showAll="0"/>
    <pivotField showAll="0"/>
    <pivotField numFmtId="1" showAll="0"/>
    <pivotField numFmtId="2" showAll="0"/>
    <pivotField numFmtId="9" showAll="0"/>
    <pivotField axis="axisRow" showAll="0">
      <items count="4">
        <item x="2"/>
        <item x="0"/>
        <item x="1"/>
        <item t="default"/>
      </items>
    </pivotField>
    <pivotField showAll="0"/>
    <pivotField showAll="0"/>
    <pivotField showAll="0">
      <items count="13">
        <item x="4"/>
        <item x="8"/>
        <item x="6"/>
        <item x="11"/>
        <item x="2"/>
        <item x="0"/>
        <item x="1"/>
        <item x="3"/>
        <item x="7"/>
        <item x="5"/>
        <item x="9"/>
        <item x="10"/>
        <item t="default"/>
      </items>
    </pivotField>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web-scraper-order"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DCF952-B489-483E-A012-237307424AE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6" firstHeaderRow="1" firstDataRow="1" firstDataCol="1"/>
  <pivotFields count="15">
    <pivotField showAll="0"/>
    <pivotField dataField="1" showAll="0">
      <items count="315">
        <item x="107"/>
        <item x="157"/>
        <item x="117"/>
        <item x="222"/>
        <item x="64"/>
        <item x="259"/>
        <item x="200"/>
        <item x="212"/>
        <item x="236"/>
        <item x="21"/>
        <item x="89"/>
        <item x="187"/>
        <item x="170"/>
        <item x="10"/>
        <item x="305"/>
        <item x="19"/>
        <item x="18"/>
        <item x="287"/>
        <item x="138"/>
        <item x="218"/>
        <item x="122"/>
        <item x="273"/>
        <item x="225"/>
        <item x="6"/>
        <item x="150"/>
        <item x="49"/>
        <item x="192"/>
        <item x="57"/>
        <item x="46"/>
        <item x="105"/>
        <item x="127"/>
        <item x="39"/>
        <item x="14"/>
        <item x="96"/>
        <item x="63"/>
        <item x="291"/>
        <item x="28"/>
        <item x="207"/>
        <item x="256"/>
        <item x="62"/>
        <item x="210"/>
        <item x="214"/>
        <item x="16"/>
        <item x="177"/>
        <item x="260"/>
        <item x="74"/>
        <item x="148"/>
        <item x="55"/>
        <item x="129"/>
        <item x="116"/>
        <item x="198"/>
        <item x="184"/>
        <item x="147"/>
        <item x="272"/>
        <item x="252"/>
        <item x="237"/>
        <item x="114"/>
        <item x="241"/>
        <item x="9"/>
        <item x="249"/>
        <item x="65"/>
        <item x="155"/>
        <item x="60"/>
        <item x="228"/>
        <item x="7"/>
        <item x="304"/>
        <item x="125"/>
        <item x="231"/>
        <item x="111"/>
        <item x="72"/>
        <item x="27"/>
        <item x="25"/>
        <item x="142"/>
        <item x="199"/>
        <item x="76"/>
        <item x="255"/>
        <item x="94"/>
        <item x="296"/>
        <item x="130"/>
        <item x="178"/>
        <item x="161"/>
        <item x="144"/>
        <item x="47"/>
        <item x="22"/>
        <item x="140"/>
        <item x="300"/>
        <item x="160"/>
        <item x="56"/>
        <item x="264"/>
        <item x="181"/>
        <item x="8"/>
        <item x="193"/>
        <item x="82"/>
        <item x="120"/>
        <item x="284"/>
        <item x="183"/>
        <item x="108"/>
        <item x="68"/>
        <item x="3"/>
        <item x="99"/>
        <item x="98"/>
        <item x="277"/>
        <item x="262"/>
        <item x="295"/>
        <item x="61"/>
        <item x="83"/>
        <item x="43"/>
        <item x="312"/>
        <item x="141"/>
        <item x="208"/>
        <item x="229"/>
        <item x="66"/>
        <item x="4"/>
        <item x="234"/>
        <item x="191"/>
        <item x="73"/>
        <item x="51"/>
        <item x="235"/>
        <item x="75"/>
        <item x="70"/>
        <item x="92"/>
        <item x="240"/>
        <item x="135"/>
        <item x="67"/>
        <item x="24"/>
        <item x="251"/>
        <item x="81"/>
        <item x="126"/>
        <item x="52"/>
        <item x="186"/>
        <item x="283"/>
        <item x="97"/>
        <item x="263"/>
        <item x="182"/>
        <item x="124"/>
        <item x="189"/>
        <item x="289"/>
        <item x="132"/>
        <item x="102"/>
        <item x="45"/>
        <item x="146"/>
        <item x="1"/>
        <item x="258"/>
        <item x="37"/>
        <item x="23"/>
        <item x="84"/>
        <item x="5"/>
        <item x="293"/>
        <item x="121"/>
        <item x="197"/>
        <item x="88"/>
        <item x="123"/>
        <item x="270"/>
        <item x="248"/>
        <item x="33"/>
        <item x="103"/>
        <item x="286"/>
        <item x="32"/>
        <item x="79"/>
        <item x="172"/>
        <item x="139"/>
        <item x="69"/>
        <item x="78"/>
        <item x="271"/>
        <item x="282"/>
        <item x="143"/>
        <item x="42"/>
        <item x="280"/>
        <item x="166"/>
        <item x="306"/>
        <item x="211"/>
        <item x="34"/>
        <item x="80"/>
        <item x="219"/>
        <item x="303"/>
        <item x="136"/>
        <item x="41"/>
        <item x="265"/>
        <item x="242"/>
        <item x="17"/>
        <item x="86"/>
        <item x="158"/>
        <item x="154"/>
        <item x="115"/>
        <item x="275"/>
        <item x="250"/>
        <item x="188"/>
        <item x="134"/>
        <item x="77"/>
        <item x="110"/>
        <item x="54"/>
        <item x="278"/>
        <item x="292"/>
        <item x="179"/>
        <item x="244"/>
        <item x="156"/>
        <item x="245"/>
        <item x="269"/>
        <item x="301"/>
        <item x="203"/>
        <item x="112"/>
        <item x="13"/>
        <item x="202"/>
        <item x="247"/>
        <item x="38"/>
        <item x="152"/>
        <item x="149"/>
        <item x="246"/>
        <item x="217"/>
        <item x="206"/>
        <item x="40"/>
        <item x="93"/>
        <item x="109"/>
        <item x="176"/>
        <item x="113"/>
        <item x="257"/>
        <item x="204"/>
        <item x="145"/>
        <item x="48"/>
        <item x="213"/>
        <item x="11"/>
        <item x="215"/>
        <item x="288"/>
        <item x="168"/>
        <item x="29"/>
        <item x="243"/>
        <item x="131"/>
        <item x="133"/>
        <item x="290"/>
        <item x="159"/>
        <item x="153"/>
        <item x="267"/>
        <item x="12"/>
        <item x="266"/>
        <item x="167"/>
        <item x="53"/>
        <item x="87"/>
        <item x="85"/>
        <item x="91"/>
        <item x="137"/>
        <item x="30"/>
        <item x="128"/>
        <item x="232"/>
        <item x="261"/>
        <item x="239"/>
        <item x="223"/>
        <item x="15"/>
        <item x="281"/>
        <item x="180"/>
        <item x="58"/>
        <item x="44"/>
        <item x="201"/>
        <item x="171"/>
        <item x="227"/>
        <item x="35"/>
        <item x="0"/>
        <item x="165"/>
        <item x="50"/>
        <item x="164"/>
        <item x="253"/>
        <item x="209"/>
        <item x="195"/>
        <item x="100"/>
        <item x="173"/>
        <item x="71"/>
        <item x="2"/>
        <item x="216"/>
        <item x="118"/>
        <item x="90"/>
        <item x="151"/>
        <item x="297"/>
        <item x="196"/>
        <item x="224"/>
        <item x="279"/>
        <item x="106"/>
        <item x="220"/>
        <item x="59"/>
        <item x="226"/>
        <item x="254"/>
        <item x="175"/>
        <item x="104"/>
        <item x="285"/>
        <item x="274"/>
        <item x="205"/>
        <item x="185"/>
        <item x="31"/>
        <item x="310"/>
        <item x="194"/>
        <item x="294"/>
        <item x="298"/>
        <item x="190"/>
        <item x="233"/>
        <item x="174"/>
        <item x="311"/>
        <item x="307"/>
        <item x="313"/>
        <item x="308"/>
        <item x="309"/>
        <item x="299"/>
        <item x="230"/>
        <item x="26"/>
        <item x="268"/>
        <item x="20"/>
        <item x="119"/>
        <item x="169"/>
        <item x="302"/>
        <item x="162"/>
        <item x="101"/>
        <item x="163"/>
        <item x="238"/>
        <item x="276"/>
        <item x="95"/>
        <item x="36"/>
        <item x="221"/>
        <item t="default"/>
      </items>
    </pivotField>
    <pivotField numFmtId="1" showAll="0"/>
    <pivotField numFmtId="2" showAll="0"/>
    <pivotField numFmtId="9" showAll="0"/>
    <pivotField showAll="0"/>
    <pivotField showAll="0"/>
    <pivotField showAll="0"/>
    <pivotField axis="axisRow" showAll="0">
      <items count="13">
        <item x="4"/>
        <item x="8"/>
        <item x="6"/>
        <item x="11"/>
        <item x="2"/>
        <item x="0"/>
        <item x="1"/>
        <item x="3"/>
        <item x="7"/>
        <item x="5"/>
        <item x="9"/>
        <item x="10"/>
        <item t="default"/>
      </items>
    </pivotField>
    <pivotField showAll="0"/>
    <pivotField showAll="0"/>
    <pivotField showAll="0"/>
    <pivotField showAll="0"/>
    <pivotField showAll="0"/>
    <pivotField showAll="0"/>
  </pivotFields>
  <rowFields count="1">
    <field x="8"/>
  </rowFields>
  <rowItems count="13">
    <i>
      <x/>
    </i>
    <i>
      <x v="1"/>
    </i>
    <i>
      <x v="2"/>
    </i>
    <i>
      <x v="3"/>
    </i>
    <i>
      <x v="4"/>
    </i>
    <i>
      <x v="5"/>
    </i>
    <i>
      <x v="6"/>
    </i>
    <i>
      <x v="7"/>
    </i>
    <i>
      <x v="8"/>
    </i>
    <i>
      <x v="9"/>
    </i>
    <i>
      <x v="10"/>
    </i>
    <i>
      <x v="11"/>
    </i>
    <i t="grand">
      <x/>
    </i>
  </rowItems>
  <colItems count="1">
    <i/>
  </colItems>
  <dataFields count="1">
    <dataField name="Count of nam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C0E6B8-B8D6-4B49-A20D-9688DAE3D87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0" firstDataRow="1" firstDataCol="1"/>
  <pivotFields count="15">
    <pivotField showAll="0"/>
    <pivotField dataField="1" showAll="0"/>
    <pivotField numFmtId="1" showAll="0"/>
    <pivotField dataField="1" numFmtId="2" showAll="0"/>
    <pivotField dataField="1" numFmtId="9" showAll="0"/>
    <pivotField showAll="0">
      <items count="4">
        <item x="2"/>
        <item x="0"/>
        <item x="1"/>
        <item t="default"/>
      </items>
    </pivotField>
    <pivotField showAll="0"/>
    <pivotField showAll="0"/>
    <pivotField axis="axisRow" showAll="0">
      <items count="13">
        <item x="4"/>
        <item x="8"/>
        <item x="6"/>
        <item x="11"/>
        <item x="2"/>
        <item x="0"/>
        <item x="1"/>
        <item x="3"/>
        <item x="7"/>
        <item x="5"/>
        <item x="9"/>
        <item x="10"/>
        <item t="default"/>
      </items>
    </pivotField>
    <pivotField showAll="0"/>
    <pivotField showAll="0"/>
    <pivotField showAll="0"/>
    <pivotField showAll="0"/>
    <pivotField showAll="0"/>
    <pivotField showAll="0"/>
  </pivotFields>
  <rowFields count="1">
    <field x="8"/>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Count of name" fld="1" subtotal="count" baseField="0" baseItem="0"/>
    <dataField name="Average of special price" fld="3" subtotal="average" baseField="8" baseItem="0" numFmtId="2"/>
    <dataField name="Average of discount" fld="4" subtotal="average" baseField="8"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733CF7-EEFB-432E-A03D-597754C84E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0" firstDataRow="1" firstDataCol="1"/>
  <pivotFields count="15">
    <pivotField showAll="0"/>
    <pivotField dataField="1" showAll="0"/>
    <pivotField numFmtId="1" showAll="0"/>
    <pivotField dataField="1" numFmtId="2" showAll="0"/>
    <pivotField dataField="1" numFmtId="9" showAll="0"/>
    <pivotField showAll="0"/>
    <pivotField showAll="0"/>
    <pivotField showAll="0"/>
    <pivotField axis="axisRow" showAll="0">
      <items count="13">
        <item x="4"/>
        <item x="8"/>
        <item x="6"/>
        <item x="11"/>
        <item x="2"/>
        <item x="0"/>
        <item x="1"/>
        <item x="3"/>
        <item x="7"/>
        <item x="5"/>
        <item x="9"/>
        <item x="10"/>
        <item t="default"/>
      </items>
    </pivotField>
    <pivotField showAll="0"/>
    <pivotField showAll="0"/>
    <pivotField showAll="0"/>
    <pivotField showAll="0"/>
    <pivotField showAll="0"/>
    <pivotField showAll="0"/>
  </pivotFields>
  <rowFields count="1">
    <field x="8"/>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Count of name" fld="1" subtotal="count" baseField="0" baseItem="0"/>
    <dataField name="Average of special price" fld="3" subtotal="average" baseField="8" baseItem="0" numFmtId="2"/>
    <dataField name="Average of discount" fld="4" subtotal="average" baseField="8"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D68AA83C-C847-46F9-9064-C80035DF053A}" sourceName="type">
  <pivotTables>
    <pivotTable tabId="17" name="PivotTable8"/>
    <pivotTable tabId="11" name="PivotTable12"/>
    <pivotTable tabId="9" name="PivotTable10"/>
    <pivotTable tabId="16" name="PivotTable7"/>
    <pivotTable tabId="10" name="PivotTable11"/>
    <pivotTable tabId="21" name="PivotTable2"/>
    <pivotTable tabId="19" name="PivotTable1"/>
    <pivotTable tabId="22" name="PivotTable1"/>
  </pivotTables>
  <data>
    <tabular pivotCacheId="981647734">
      <items count="12">
        <i x="4" s="1"/>
        <i x="8" s="1"/>
        <i x="6" s="1"/>
        <i x="11" s="1"/>
        <i x="2" s="1"/>
        <i x="0" s="1"/>
        <i x="1" s="1"/>
        <i x="3" s="1"/>
        <i x="7" s="1"/>
        <i x="5"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6AEC7B76-F339-47F7-AB95-71FA245670A7}" cache="Slicer_type" caption="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84C4FB9D-250B-4B33-B000-CDE659CC421A}" cache="Slicer_type" caption="type"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27737-76A8-4E26-A325-A3E1B7F1A4F4}">
  <dimension ref="A1:V401"/>
  <sheetViews>
    <sheetView zoomScale="77" zoomScaleNormal="103" workbookViewId="0">
      <selection activeCell="Q383" sqref="Q383"/>
    </sheetView>
  </sheetViews>
  <sheetFormatPr defaultRowHeight="15.6" x14ac:dyDescent="0.3"/>
  <cols>
    <col min="4" max="4" width="13.796875" style="16" bestFit="1" customWidth="1"/>
    <col min="5" max="5" width="13.19921875" style="16" bestFit="1" customWidth="1"/>
    <col min="9" max="9" width="18.69921875" bestFit="1" customWidth="1"/>
    <col min="12" max="12" width="9.69921875" bestFit="1" customWidth="1"/>
    <col min="13" max="13" width="10.5" bestFit="1" customWidth="1"/>
    <col min="14" max="14" width="16.8984375" style="18" bestFit="1" customWidth="1"/>
    <col min="15" max="15" width="9.296875" bestFit="1" customWidth="1"/>
    <col min="16" max="16" width="29.19921875" bestFit="1" customWidth="1"/>
    <col min="19" max="19" width="11.5" bestFit="1" customWidth="1"/>
    <col min="20" max="20" width="6.69921875" bestFit="1" customWidth="1"/>
    <col min="21" max="21" width="8.19921875" bestFit="1" customWidth="1"/>
  </cols>
  <sheetData>
    <row r="1" spans="1:22" x14ac:dyDescent="0.3">
      <c r="A1" s="2" t="s">
        <v>0</v>
      </c>
      <c r="B1" s="2" t="s">
        <v>1</v>
      </c>
      <c r="C1" s="2"/>
      <c r="D1" s="15" t="s">
        <v>2</v>
      </c>
      <c r="E1" s="15" t="s">
        <v>3</v>
      </c>
      <c r="F1" s="2" t="s">
        <v>4</v>
      </c>
      <c r="G1" s="2" t="s">
        <v>5</v>
      </c>
      <c r="H1" s="2" t="s">
        <v>1250</v>
      </c>
      <c r="I1" s="2" t="s">
        <v>6</v>
      </c>
      <c r="J1" s="2" t="s">
        <v>7</v>
      </c>
      <c r="K1" s="2" t="s">
        <v>8</v>
      </c>
      <c r="L1" s="2" t="s">
        <v>9</v>
      </c>
      <c r="M1" s="2" t="s">
        <v>10</v>
      </c>
      <c r="N1" s="17" t="s">
        <v>1260</v>
      </c>
      <c r="O1" s="2" t="s">
        <v>12</v>
      </c>
      <c r="P1" s="2" t="s">
        <v>13</v>
      </c>
    </row>
    <row r="2" spans="1:22" x14ac:dyDescent="0.3">
      <c r="A2" s="1" t="s">
        <v>14</v>
      </c>
      <c r="B2" s="1" t="s">
        <v>15</v>
      </c>
      <c r="C2" s="1"/>
      <c r="D2" s="16">
        <v>499</v>
      </c>
      <c r="E2" s="16">
        <v>199</v>
      </c>
      <c r="F2" s="5">
        <v>0.6</v>
      </c>
      <c r="G2" s="1" t="s">
        <v>19</v>
      </c>
      <c r="H2" s="1">
        <v>2</v>
      </c>
      <c r="I2" s="1" t="s">
        <v>20</v>
      </c>
      <c r="J2" s="1" t="s">
        <v>21</v>
      </c>
      <c r="K2" s="1" t="s">
        <v>22</v>
      </c>
      <c r="L2" s="1" t="s">
        <v>23</v>
      </c>
      <c r="M2" s="1" t="s">
        <v>24</v>
      </c>
      <c r="N2" s="18">
        <v>2</v>
      </c>
      <c r="O2" s="1" t="s">
        <v>24</v>
      </c>
      <c r="P2" s="1" t="s">
        <v>26</v>
      </c>
    </row>
    <row r="3" spans="1:22" x14ac:dyDescent="0.3">
      <c r="A3" s="1" t="s">
        <v>27</v>
      </c>
      <c r="B3" s="1" t="s">
        <v>28</v>
      </c>
      <c r="C3" s="1"/>
      <c r="D3" s="16">
        <v>599</v>
      </c>
      <c r="E3" s="16">
        <v>130</v>
      </c>
      <c r="F3" s="5">
        <v>0.78</v>
      </c>
      <c r="G3" s="1" t="s">
        <v>32</v>
      </c>
      <c r="H3" s="1">
        <v>1</v>
      </c>
      <c r="I3" s="1" t="s">
        <v>20</v>
      </c>
      <c r="J3" s="1" t="s">
        <v>33</v>
      </c>
      <c r="K3" s="1" t="s">
        <v>34</v>
      </c>
      <c r="L3" s="1" t="s">
        <v>1244</v>
      </c>
      <c r="M3" s="1" t="s">
        <v>36</v>
      </c>
      <c r="N3" s="18">
        <v>2</v>
      </c>
      <c r="O3" s="1" t="s">
        <v>36</v>
      </c>
      <c r="P3" s="1" t="s">
        <v>38</v>
      </c>
      <c r="S3" s="7" t="s">
        <v>1245</v>
      </c>
    </row>
    <row r="4" spans="1:22" x14ac:dyDescent="0.3">
      <c r="A4" s="1" t="s">
        <v>39</v>
      </c>
      <c r="B4" s="1" t="s">
        <v>40</v>
      </c>
      <c r="C4" s="1"/>
      <c r="D4" s="16">
        <v>499</v>
      </c>
      <c r="E4" s="16">
        <v>249</v>
      </c>
      <c r="F4" s="5">
        <v>0.5</v>
      </c>
      <c r="G4" s="1" t="s">
        <v>19</v>
      </c>
      <c r="H4" s="1">
        <v>2</v>
      </c>
      <c r="I4" s="1" t="s">
        <v>20</v>
      </c>
      <c r="J4" s="1" t="s">
        <v>43</v>
      </c>
      <c r="K4" s="1" t="s">
        <v>22</v>
      </c>
      <c r="L4" s="1" t="s">
        <v>1244</v>
      </c>
      <c r="M4" s="1" t="s">
        <v>24</v>
      </c>
      <c r="N4" s="18">
        <v>2</v>
      </c>
      <c r="O4" s="1" t="s">
        <v>36</v>
      </c>
      <c r="P4" s="1" t="s">
        <v>44</v>
      </c>
      <c r="S4" t="s">
        <v>1246</v>
      </c>
      <c r="T4" s="6">
        <f>AVERAGE(D2:D401)</f>
        <v>520.33749999999998</v>
      </c>
      <c r="U4" s="5">
        <f>AVERAGE(F2:F401)</f>
        <v>0.64050000000000007</v>
      </c>
      <c r="V4">
        <v>1.24</v>
      </c>
    </row>
    <row r="5" spans="1:22" x14ac:dyDescent="0.3">
      <c r="A5" s="1" t="s">
        <v>45</v>
      </c>
      <c r="B5" s="1" t="s">
        <v>46</v>
      </c>
      <c r="C5" s="1"/>
      <c r="D5" s="16">
        <v>399</v>
      </c>
      <c r="E5" s="16">
        <v>120</v>
      </c>
      <c r="F5" s="5">
        <v>0.69</v>
      </c>
      <c r="G5" s="1" t="s">
        <v>32</v>
      </c>
      <c r="H5" s="1">
        <v>1</v>
      </c>
      <c r="I5" s="1" t="s">
        <v>20</v>
      </c>
      <c r="J5" s="1" t="s">
        <v>33</v>
      </c>
      <c r="K5" s="1" t="s">
        <v>34</v>
      </c>
      <c r="L5" s="1" t="s">
        <v>1244</v>
      </c>
      <c r="M5" s="1" t="s">
        <v>24</v>
      </c>
      <c r="N5" s="18">
        <v>2</v>
      </c>
      <c r="O5" s="1" t="s">
        <v>36</v>
      </c>
      <c r="P5" s="1" t="s">
        <v>51</v>
      </c>
      <c r="S5" t="s">
        <v>1247</v>
      </c>
      <c r="T5" s="6">
        <f>MEDIAN(D2:D401)</f>
        <v>499</v>
      </c>
      <c r="U5" s="5">
        <f>MEDIAN(F2:F401)</f>
        <v>0.68</v>
      </c>
      <c r="V5" s="19">
        <f>MEDIAN(H2:H401)</f>
        <v>1</v>
      </c>
    </row>
    <row r="6" spans="1:22" x14ac:dyDescent="0.3">
      <c r="A6" s="1" t="s">
        <v>52</v>
      </c>
      <c r="B6" s="1" t="s">
        <v>53</v>
      </c>
      <c r="C6" s="1"/>
      <c r="D6" s="16">
        <v>398</v>
      </c>
      <c r="E6" s="16">
        <v>124</v>
      </c>
      <c r="F6" s="5">
        <v>0.68</v>
      </c>
      <c r="G6" s="1" t="s">
        <v>32</v>
      </c>
      <c r="H6" s="1">
        <v>1</v>
      </c>
      <c r="I6" s="1" t="s">
        <v>20</v>
      </c>
      <c r="J6" s="1" t="s">
        <v>33</v>
      </c>
      <c r="K6" s="1" t="s">
        <v>22</v>
      </c>
      <c r="L6" s="1" t="s">
        <v>1244</v>
      </c>
      <c r="M6" s="1" t="s">
        <v>24</v>
      </c>
      <c r="N6" s="18">
        <v>2</v>
      </c>
      <c r="O6" s="1" t="s">
        <v>36</v>
      </c>
      <c r="P6" s="1" t="s">
        <v>57</v>
      </c>
      <c r="S6" t="s">
        <v>1248</v>
      </c>
      <c r="T6">
        <f>MODE(D2:D401)</f>
        <v>499</v>
      </c>
      <c r="V6">
        <f>MODE(H2:H401)</f>
        <v>1</v>
      </c>
    </row>
    <row r="7" spans="1:22" x14ac:dyDescent="0.3">
      <c r="A7" s="1" t="s">
        <v>58</v>
      </c>
      <c r="B7" s="1" t="s">
        <v>59</v>
      </c>
      <c r="C7" s="1"/>
      <c r="D7" s="16">
        <v>599</v>
      </c>
      <c r="E7" s="16">
        <v>120</v>
      </c>
      <c r="F7" s="5">
        <v>0.79</v>
      </c>
      <c r="G7" s="1" t="s">
        <v>32</v>
      </c>
      <c r="H7" s="1">
        <v>1</v>
      </c>
      <c r="I7" s="1" t="s">
        <v>20</v>
      </c>
      <c r="J7" s="1" t="s">
        <v>33</v>
      </c>
      <c r="K7" s="1" t="s">
        <v>34</v>
      </c>
      <c r="L7" s="1" t="s">
        <v>1244</v>
      </c>
      <c r="M7" s="1" t="s">
        <v>36</v>
      </c>
      <c r="N7" s="18">
        <v>2</v>
      </c>
      <c r="O7" s="1" t="s">
        <v>36</v>
      </c>
      <c r="P7" s="1" t="s">
        <v>38</v>
      </c>
    </row>
    <row r="8" spans="1:22" x14ac:dyDescent="0.3">
      <c r="A8" s="1" t="s">
        <v>61</v>
      </c>
      <c r="B8" s="1" t="s">
        <v>62</v>
      </c>
      <c r="C8" s="1"/>
      <c r="D8" s="16">
        <v>489</v>
      </c>
      <c r="E8" s="16">
        <v>125</v>
      </c>
      <c r="F8" s="5">
        <v>0.74</v>
      </c>
      <c r="G8" s="1" t="s">
        <v>32</v>
      </c>
      <c r="H8" s="1">
        <v>1</v>
      </c>
      <c r="I8" s="1" t="s">
        <v>20</v>
      </c>
      <c r="J8" s="1" t="s">
        <v>66</v>
      </c>
      <c r="K8" s="1" t="s">
        <v>34</v>
      </c>
      <c r="L8" s="1" t="s">
        <v>1244</v>
      </c>
      <c r="M8" s="1" t="s">
        <v>36</v>
      </c>
      <c r="N8" s="18">
        <v>2</v>
      </c>
      <c r="O8" s="1" t="s">
        <v>36</v>
      </c>
      <c r="P8" s="1" t="s">
        <v>67</v>
      </c>
      <c r="S8" s="1" t="s">
        <v>3</v>
      </c>
    </row>
    <row r="9" spans="1:22" x14ac:dyDescent="0.3">
      <c r="A9" s="1" t="s">
        <v>68</v>
      </c>
      <c r="B9" s="1" t="s">
        <v>69</v>
      </c>
      <c r="C9" s="1"/>
      <c r="D9" s="16">
        <v>499</v>
      </c>
      <c r="E9" s="16">
        <v>135</v>
      </c>
      <c r="F9" s="5">
        <v>0.72</v>
      </c>
      <c r="G9" s="1" t="s">
        <v>32</v>
      </c>
      <c r="H9" s="1">
        <v>1</v>
      </c>
      <c r="I9" s="1" t="s">
        <v>20</v>
      </c>
      <c r="J9" s="1" t="s">
        <v>43</v>
      </c>
      <c r="K9" s="1" t="s">
        <v>22</v>
      </c>
      <c r="L9" s="1" t="s">
        <v>1244</v>
      </c>
      <c r="M9" s="1" t="s">
        <v>24</v>
      </c>
      <c r="N9" s="18">
        <v>1</v>
      </c>
      <c r="O9" s="1" t="s">
        <v>36</v>
      </c>
      <c r="P9" s="1" t="s">
        <v>73</v>
      </c>
      <c r="S9" t="s">
        <v>1261</v>
      </c>
      <c r="T9" s="3">
        <f>AVERAGE(E2:E401)</f>
        <v>168.64250000000001</v>
      </c>
    </row>
    <row r="10" spans="1:22" x14ac:dyDescent="0.3">
      <c r="A10" s="1" t="s">
        <v>74</v>
      </c>
      <c r="B10" s="1" t="s">
        <v>75</v>
      </c>
      <c r="C10" s="1"/>
      <c r="D10" s="16">
        <v>499</v>
      </c>
      <c r="E10" s="16">
        <v>121</v>
      </c>
      <c r="F10" s="5">
        <v>0.75</v>
      </c>
      <c r="G10" s="1" t="s">
        <v>19</v>
      </c>
      <c r="H10" s="1">
        <v>2</v>
      </c>
      <c r="I10" s="1" t="s">
        <v>20</v>
      </c>
      <c r="J10" s="1" t="s">
        <v>33</v>
      </c>
      <c r="K10" s="1" t="s">
        <v>22</v>
      </c>
      <c r="L10" s="1" t="s">
        <v>1244</v>
      </c>
      <c r="M10" s="1" t="s">
        <v>24</v>
      </c>
      <c r="N10" s="18">
        <v>0.5</v>
      </c>
      <c r="O10" s="1" t="s">
        <v>36</v>
      </c>
      <c r="P10" s="1" t="s">
        <v>79</v>
      </c>
      <c r="S10" t="s">
        <v>1247</v>
      </c>
      <c r="T10" s="3">
        <f>MEDIAN(E2:E401)</f>
        <v>135</v>
      </c>
    </row>
    <row r="11" spans="1:22" x14ac:dyDescent="0.3">
      <c r="A11" s="1" t="s">
        <v>80</v>
      </c>
      <c r="B11" s="1" t="s">
        <v>81</v>
      </c>
      <c r="C11" s="1"/>
      <c r="D11" s="16">
        <v>499</v>
      </c>
      <c r="E11" s="16">
        <v>125</v>
      </c>
      <c r="F11" s="5">
        <v>0.74</v>
      </c>
      <c r="G11" s="1" t="s">
        <v>32</v>
      </c>
      <c r="H11" s="1">
        <v>1</v>
      </c>
      <c r="I11" s="1" t="s">
        <v>20</v>
      </c>
      <c r="J11" s="1" t="s">
        <v>33</v>
      </c>
      <c r="K11" s="1" t="s">
        <v>34</v>
      </c>
      <c r="L11" s="1" t="s">
        <v>1244</v>
      </c>
      <c r="M11" s="1" t="s">
        <v>24</v>
      </c>
      <c r="N11" s="18">
        <v>1</v>
      </c>
      <c r="O11" s="1" t="s">
        <v>36</v>
      </c>
      <c r="P11" s="1" t="s">
        <v>73</v>
      </c>
      <c r="S11" t="s">
        <v>1248</v>
      </c>
      <c r="T11">
        <f>MODE(E2:E401)</f>
        <v>125</v>
      </c>
    </row>
    <row r="12" spans="1:22" x14ac:dyDescent="0.3">
      <c r="A12" s="1" t="s">
        <v>82</v>
      </c>
      <c r="B12" s="1" t="s">
        <v>83</v>
      </c>
      <c r="C12" s="1"/>
      <c r="D12" s="16">
        <v>299</v>
      </c>
      <c r="E12" s="16">
        <v>130</v>
      </c>
      <c r="F12" s="5">
        <v>0.56000000000000005</v>
      </c>
      <c r="G12" s="1" t="s">
        <v>32</v>
      </c>
      <c r="H12" s="1">
        <v>1</v>
      </c>
      <c r="I12" s="1" t="s">
        <v>20</v>
      </c>
      <c r="J12" s="1" t="s">
        <v>33</v>
      </c>
      <c r="K12" s="1" t="s">
        <v>22</v>
      </c>
      <c r="L12" s="1" t="s">
        <v>1244</v>
      </c>
      <c r="M12" s="1" t="s">
        <v>24</v>
      </c>
      <c r="N12" s="18">
        <v>1</v>
      </c>
      <c r="O12" s="1" t="s">
        <v>36</v>
      </c>
      <c r="P12" s="1" t="s">
        <v>87</v>
      </c>
    </row>
    <row r="13" spans="1:22" x14ac:dyDescent="0.3">
      <c r="A13" s="1" t="s">
        <v>88</v>
      </c>
      <c r="B13" s="1" t="s">
        <v>89</v>
      </c>
      <c r="C13" s="1"/>
      <c r="D13" s="16">
        <v>499</v>
      </c>
      <c r="E13" s="16">
        <v>128</v>
      </c>
      <c r="F13" s="5">
        <v>0.74</v>
      </c>
      <c r="G13" s="1" t="s">
        <v>32</v>
      </c>
      <c r="H13" s="1">
        <v>1</v>
      </c>
      <c r="I13" s="1" t="s">
        <v>20</v>
      </c>
      <c r="J13" s="1" t="s">
        <v>91</v>
      </c>
      <c r="K13" s="1" t="s">
        <v>34</v>
      </c>
      <c r="L13" s="1" t="s">
        <v>23</v>
      </c>
      <c r="M13" s="1" t="s">
        <v>24</v>
      </c>
      <c r="N13" s="18">
        <v>3</v>
      </c>
      <c r="O13" s="1" t="s">
        <v>24</v>
      </c>
      <c r="P13" s="1" t="s">
        <v>93</v>
      </c>
      <c r="S13" t="s">
        <v>1249</v>
      </c>
    </row>
    <row r="14" spans="1:22" x14ac:dyDescent="0.3">
      <c r="A14" s="1" t="s">
        <v>94</v>
      </c>
      <c r="B14" s="1" t="s">
        <v>95</v>
      </c>
      <c r="C14" s="1"/>
      <c r="D14" s="16">
        <v>405</v>
      </c>
      <c r="E14" s="16">
        <v>130</v>
      </c>
      <c r="F14" s="5">
        <v>0.67</v>
      </c>
      <c r="G14" s="1" t="s">
        <v>32</v>
      </c>
      <c r="H14" s="1">
        <v>1</v>
      </c>
      <c r="I14" s="1" t="s">
        <v>20</v>
      </c>
      <c r="J14" s="1" t="s">
        <v>98</v>
      </c>
      <c r="K14" s="1" t="s">
        <v>34</v>
      </c>
      <c r="L14" s="1" t="s">
        <v>1244</v>
      </c>
      <c r="M14" s="1" t="s">
        <v>36</v>
      </c>
      <c r="N14" s="18">
        <v>50</v>
      </c>
      <c r="O14" s="1" t="s">
        <v>36</v>
      </c>
      <c r="P14" s="1" t="s">
        <v>100</v>
      </c>
      <c r="S14" t="s">
        <v>1261</v>
      </c>
      <c r="T14" s="5">
        <f>AVERAGE(F2:F401)</f>
        <v>0.64050000000000007</v>
      </c>
    </row>
    <row r="15" spans="1:22" x14ac:dyDescent="0.3">
      <c r="A15" s="1" t="s">
        <v>101</v>
      </c>
      <c r="B15" s="1" t="s">
        <v>102</v>
      </c>
      <c r="C15" s="1"/>
      <c r="D15" s="16">
        <v>499</v>
      </c>
      <c r="E15" s="16">
        <v>279</v>
      </c>
      <c r="F15" s="5">
        <v>0.44</v>
      </c>
      <c r="G15" s="1" t="s">
        <v>32</v>
      </c>
      <c r="H15" s="1">
        <v>1</v>
      </c>
      <c r="I15" s="1" t="s">
        <v>20</v>
      </c>
      <c r="J15" s="1" t="s">
        <v>105</v>
      </c>
      <c r="K15" s="1" t="s">
        <v>34</v>
      </c>
      <c r="L15" s="1" t="s">
        <v>23</v>
      </c>
      <c r="M15" s="1" t="s">
        <v>24</v>
      </c>
      <c r="N15" s="18">
        <v>2</v>
      </c>
      <c r="O15" s="1" t="s">
        <v>24</v>
      </c>
      <c r="P15" s="1" t="s">
        <v>106</v>
      </c>
      <c r="S15" t="s">
        <v>1247</v>
      </c>
      <c r="T15" s="5">
        <f>MEDIAN(F2:F401)</f>
        <v>0.68</v>
      </c>
    </row>
    <row r="16" spans="1:22" x14ac:dyDescent="0.3">
      <c r="A16" s="1" t="s">
        <v>107</v>
      </c>
      <c r="B16" s="1" t="s">
        <v>108</v>
      </c>
      <c r="C16" s="1"/>
      <c r="D16" s="16">
        <v>499</v>
      </c>
      <c r="E16" s="16">
        <v>140</v>
      </c>
      <c r="F16" s="5">
        <v>0.71</v>
      </c>
      <c r="G16" s="1" t="s">
        <v>32</v>
      </c>
      <c r="H16" s="1">
        <v>1</v>
      </c>
      <c r="I16" s="1" t="s">
        <v>20</v>
      </c>
      <c r="J16" s="1" t="s">
        <v>98</v>
      </c>
      <c r="K16" s="1" t="s">
        <v>34</v>
      </c>
      <c r="L16" s="1" t="s">
        <v>1244</v>
      </c>
      <c r="M16" s="1" t="s">
        <v>36</v>
      </c>
      <c r="N16" s="18">
        <v>15</v>
      </c>
      <c r="O16" s="1" t="s">
        <v>36</v>
      </c>
      <c r="P16" s="1" t="s">
        <v>112</v>
      </c>
      <c r="S16" t="s">
        <v>1248</v>
      </c>
      <c r="T16" s="14">
        <f>MODE(F2:F401)</f>
        <v>0.68</v>
      </c>
    </row>
    <row r="17" spans="1:20" x14ac:dyDescent="0.3">
      <c r="A17" s="1" t="s">
        <v>113</v>
      </c>
      <c r="B17" s="1" t="s">
        <v>114</v>
      </c>
      <c r="C17" s="1"/>
      <c r="D17" s="16">
        <v>799</v>
      </c>
      <c r="E17" s="16">
        <v>126</v>
      </c>
      <c r="F17" s="5">
        <v>0.84</v>
      </c>
      <c r="G17" s="1" t="s">
        <v>19</v>
      </c>
      <c r="H17" s="1">
        <v>2</v>
      </c>
      <c r="I17" s="1" t="s">
        <v>20</v>
      </c>
      <c r="J17" s="1" t="s">
        <v>33</v>
      </c>
      <c r="K17" s="1" t="s">
        <v>22</v>
      </c>
      <c r="L17" s="1" t="s">
        <v>118</v>
      </c>
      <c r="M17" s="1" t="s">
        <v>24</v>
      </c>
      <c r="N17" s="18">
        <v>2</v>
      </c>
      <c r="O17" s="1" t="s">
        <v>36</v>
      </c>
      <c r="P17" s="1" t="s">
        <v>119</v>
      </c>
    </row>
    <row r="18" spans="1:20" x14ac:dyDescent="0.3">
      <c r="A18" s="1" t="s">
        <v>120</v>
      </c>
      <c r="B18" s="1" t="s">
        <v>121</v>
      </c>
      <c r="C18" s="1"/>
      <c r="D18" s="16">
        <v>422</v>
      </c>
      <c r="E18" s="16">
        <v>120</v>
      </c>
      <c r="F18" s="5">
        <v>0.71</v>
      </c>
      <c r="G18" s="1" t="s">
        <v>32</v>
      </c>
      <c r="H18" s="1">
        <v>1</v>
      </c>
      <c r="I18" s="1" t="s">
        <v>20</v>
      </c>
      <c r="J18" s="1" t="s">
        <v>43</v>
      </c>
      <c r="K18" s="1" t="s">
        <v>22</v>
      </c>
      <c r="L18" s="1" t="s">
        <v>1244</v>
      </c>
      <c r="M18" s="1" t="s">
        <v>24</v>
      </c>
      <c r="N18" s="18">
        <v>1</v>
      </c>
      <c r="O18" s="1" t="s">
        <v>36</v>
      </c>
      <c r="P18" s="1" t="s">
        <v>123</v>
      </c>
    </row>
    <row r="19" spans="1:20" x14ac:dyDescent="0.3">
      <c r="A19" s="1" t="s">
        <v>124</v>
      </c>
      <c r="B19" s="1" t="s">
        <v>125</v>
      </c>
      <c r="C19" s="1"/>
      <c r="D19" s="16">
        <v>449</v>
      </c>
      <c r="E19" s="16">
        <v>179</v>
      </c>
      <c r="F19" s="5">
        <v>0.6</v>
      </c>
      <c r="G19" s="1" t="s">
        <v>32</v>
      </c>
      <c r="H19" s="1">
        <v>1</v>
      </c>
      <c r="I19" s="1" t="s">
        <v>20</v>
      </c>
      <c r="J19" s="1" t="s">
        <v>91</v>
      </c>
      <c r="K19" s="1" t="s">
        <v>22</v>
      </c>
      <c r="L19" s="1" t="s">
        <v>1244</v>
      </c>
      <c r="M19" s="1" t="s">
        <v>24</v>
      </c>
      <c r="N19" s="18">
        <v>0.8</v>
      </c>
      <c r="O19" s="1" t="s">
        <v>36</v>
      </c>
      <c r="P19" s="1" t="s">
        <v>130</v>
      </c>
      <c r="S19" t="s">
        <v>1250</v>
      </c>
    </row>
    <row r="20" spans="1:20" x14ac:dyDescent="0.3">
      <c r="A20" s="1" t="s">
        <v>131</v>
      </c>
      <c r="B20" s="1" t="s">
        <v>132</v>
      </c>
      <c r="C20" s="1"/>
      <c r="D20" s="16">
        <v>399</v>
      </c>
      <c r="E20" s="16">
        <v>186</v>
      </c>
      <c r="F20" s="5">
        <v>0.53</v>
      </c>
      <c r="G20" s="1" t="s">
        <v>19</v>
      </c>
      <c r="H20" s="1">
        <v>2</v>
      </c>
      <c r="I20" s="1" t="s">
        <v>20</v>
      </c>
      <c r="J20" s="1" t="s">
        <v>135</v>
      </c>
      <c r="K20" s="1" t="s">
        <v>22</v>
      </c>
      <c r="L20" s="1" t="s">
        <v>23</v>
      </c>
      <c r="M20" s="1" t="s">
        <v>36</v>
      </c>
      <c r="N20" s="18">
        <v>1</v>
      </c>
      <c r="O20" s="1" t="s">
        <v>36</v>
      </c>
      <c r="P20" s="1" t="s">
        <v>136</v>
      </c>
      <c r="S20" t="s">
        <v>1246</v>
      </c>
      <c r="T20" s="3">
        <f>AVERAGE(H2:H401)</f>
        <v>1.2474747474747474</v>
      </c>
    </row>
    <row r="21" spans="1:20" x14ac:dyDescent="0.3">
      <c r="A21" s="1" t="s">
        <v>137</v>
      </c>
      <c r="B21" s="1" t="s">
        <v>138</v>
      </c>
      <c r="C21" s="1"/>
      <c r="D21" s="16">
        <v>399</v>
      </c>
      <c r="E21" s="16">
        <v>185</v>
      </c>
      <c r="F21" s="5">
        <v>0.53</v>
      </c>
      <c r="G21" s="1" t="s">
        <v>32</v>
      </c>
      <c r="H21" s="1">
        <v>1</v>
      </c>
      <c r="I21" s="1" t="s">
        <v>20</v>
      </c>
      <c r="J21" s="1" t="s">
        <v>33</v>
      </c>
      <c r="K21" s="1" t="s">
        <v>22</v>
      </c>
      <c r="L21" s="1" t="s">
        <v>1244</v>
      </c>
      <c r="M21" s="1" t="s">
        <v>24</v>
      </c>
      <c r="N21" s="18">
        <v>1</v>
      </c>
      <c r="O21" s="1" t="s">
        <v>36</v>
      </c>
      <c r="P21" s="1" t="s">
        <v>87</v>
      </c>
      <c r="S21" t="s">
        <v>1247</v>
      </c>
      <c r="T21" s="3">
        <f>MEDIAN(H2:H401)</f>
        <v>1</v>
      </c>
    </row>
    <row r="22" spans="1:20" x14ac:dyDescent="0.3">
      <c r="A22" s="1" t="s">
        <v>140</v>
      </c>
      <c r="B22" s="1" t="s">
        <v>141</v>
      </c>
      <c r="C22" s="1"/>
      <c r="D22" s="16">
        <v>399</v>
      </c>
      <c r="E22" s="16">
        <v>160</v>
      </c>
      <c r="F22" s="5">
        <v>0.59</v>
      </c>
      <c r="G22" s="1" t="s">
        <v>32</v>
      </c>
      <c r="H22" s="1">
        <v>1</v>
      </c>
      <c r="I22" s="1" t="s">
        <v>20</v>
      </c>
      <c r="J22" s="1" t="s">
        <v>33</v>
      </c>
      <c r="K22" s="1" t="s">
        <v>34</v>
      </c>
      <c r="L22" s="1" t="s">
        <v>1244</v>
      </c>
      <c r="M22" s="1" t="s">
        <v>24</v>
      </c>
      <c r="N22" s="18">
        <v>1</v>
      </c>
      <c r="O22" s="1" t="s">
        <v>36</v>
      </c>
      <c r="P22" s="1" t="s">
        <v>87</v>
      </c>
      <c r="S22" t="s">
        <v>1248</v>
      </c>
      <c r="T22">
        <f>MODE(H2:H401)</f>
        <v>1</v>
      </c>
    </row>
    <row r="23" spans="1:20" x14ac:dyDescent="0.3">
      <c r="A23" s="1" t="s">
        <v>144</v>
      </c>
      <c r="B23" s="1" t="s">
        <v>145</v>
      </c>
      <c r="C23" s="1"/>
      <c r="D23" s="16">
        <v>399</v>
      </c>
      <c r="E23" s="16">
        <v>119</v>
      </c>
      <c r="F23" s="5">
        <v>0.7</v>
      </c>
      <c r="G23" s="1" t="s">
        <v>32</v>
      </c>
      <c r="H23" s="1">
        <v>1</v>
      </c>
      <c r="I23" s="1" t="s">
        <v>20</v>
      </c>
      <c r="J23" s="1" t="s">
        <v>43</v>
      </c>
      <c r="K23" s="1" t="s">
        <v>34</v>
      </c>
      <c r="L23" s="1" t="s">
        <v>1244</v>
      </c>
      <c r="M23" s="1" t="s">
        <v>36</v>
      </c>
      <c r="N23" s="18">
        <v>0.5</v>
      </c>
      <c r="O23" s="1" t="s">
        <v>36</v>
      </c>
      <c r="P23" s="1" t="s">
        <v>148</v>
      </c>
    </row>
    <row r="24" spans="1:20" x14ac:dyDescent="0.3">
      <c r="A24" s="1" t="s">
        <v>149</v>
      </c>
      <c r="B24" s="1" t="s">
        <v>150</v>
      </c>
      <c r="C24" s="1"/>
      <c r="D24" s="16">
        <v>235</v>
      </c>
      <c r="E24" s="16">
        <v>139</v>
      </c>
      <c r="F24" s="5">
        <v>0.4</v>
      </c>
      <c r="G24" s="1" t="s">
        <v>32</v>
      </c>
      <c r="H24" s="1">
        <v>1</v>
      </c>
      <c r="I24" s="1" t="s">
        <v>20</v>
      </c>
      <c r="J24" s="1" t="s">
        <v>33</v>
      </c>
      <c r="K24" s="1" t="s">
        <v>22</v>
      </c>
      <c r="L24" s="1" t="s">
        <v>1244</v>
      </c>
      <c r="M24" s="1" t="s">
        <v>24</v>
      </c>
      <c r="N24" s="18">
        <v>0.2</v>
      </c>
      <c r="O24" s="1" t="s">
        <v>36</v>
      </c>
      <c r="P24" s="1" t="s">
        <v>87</v>
      </c>
    </row>
    <row r="25" spans="1:20" x14ac:dyDescent="0.3">
      <c r="A25" s="1" t="s">
        <v>155</v>
      </c>
      <c r="B25" s="1" t="s">
        <v>156</v>
      </c>
      <c r="C25" s="1"/>
      <c r="D25" s="16">
        <v>299</v>
      </c>
      <c r="E25" s="16">
        <v>118</v>
      </c>
      <c r="F25" s="5">
        <v>0.6</v>
      </c>
      <c r="G25" s="1" t="s">
        <v>32</v>
      </c>
      <c r="H25" s="1">
        <v>1</v>
      </c>
      <c r="I25" s="1" t="s">
        <v>20</v>
      </c>
      <c r="J25" s="1" t="s">
        <v>66</v>
      </c>
      <c r="K25" s="1" t="s">
        <v>34</v>
      </c>
      <c r="L25" s="1" t="s">
        <v>1244</v>
      </c>
      <c r="M25" s="1" t="s">
        <v>24</v>
      </c>
      <c r="N25" s="18">
        <v>2</v>
      </c>
      <c r="O25" s="1" t="s">
        <v>36</v>
      </c>
      <c r="P25" s="1" t="s">
        <v>158</v>
      </c>
      <c r="S25" s="1" t="s">
        <v>1251</v>
      </c>
    </row>
    <row r="26" spans="1:20" x14ac:dyDescent="0.3">
      <c r="A26" s="1" t="s">
        <v>159</v>
      </c>
      <c r="B26" s="1" t="s">
        <v>160</v>
      </c>
      <c r="C26" s="1"/>
      <c r="D26" s="16">
        <v>599</v>
      </c>
      <c r="E26" s="16">
        <v>149</v>
      </c>
      <c r="F26" s="5">
        <v>0.75</v>
      </c>
      <c r="G26" s="1" t="s">
        <v>32</v>
      </c>
      <c r="H26" s="1">
        <v>1</v>
      </c>
      <c r="I26" s="1" t="s">
        <v>20</v>
      </c>
      <c r="J26" s="1" t="s">
        <v>43</v>
      </c>
      <c r="K26" s="1" t="s">
        <v>34</v>
      </c>
      <c r="L26" s="1" t="s">
        <v>1244</v>
      </c>
      <c r="M26" s="1" t="s">
        <v>36</v>
      </c>
      <c r="N26" s="18">
        <v>2</v>
      </c>
      <c r="O26" s="1" t="s">
        <v>36</v>
      </c>
      <c r="P26" s="1" t="s">
        <v>38</v>
      </c>
      <c r="S26" t="s">
        <v>1261</v>
      </c>
      <c r="T26" s="18">
        <f>AVERAGE(N2:N401)</f>
        <v>2.1402500000000004</v>
      </c>
    </row>
    <row r="27" spans="1:20" x14ac:dyDescent="0.3">
      <c r="A27" s="1" t="s">
        <v>162</v>
      </c>
      <c r="B27" s="1" t="s">
        <v>163</v>
      </c>
      <c r="C27" s="1"/>
      <c r="D27" s="16">
        <v>663</v>
      </c>
      <c r="E27" s="16">
        <v>118</v>
      </c>
      <c r="F27" s="5">
        <v>0.82</v>
      </c>
      <c r="G27" s="1" t="s">
        <v>32</v>
      </c>
      <c r="H27" s="1">
        <v>1</v>
      </c>
      <c r="I27" s="1" t="s">
        <v>20</v>
      </c>
      <c r="J27" s="1" t="s">
        <v>33</v>
      </c>
      <c r="K27" s="1" t="s">
        <v>22</v>
      </c>
      <c r="L27" s="1" t="s">
        <v>1244</v>
      </c>
      <c r="M27" s="1" t="s">
        <v>24</v>
      </c>
      <c r="N27" s="18">
        <v>0.3</v>
      </c>
      <c r="O27" s="1" t="s">
        <v>36</v>
      </c>
      <c r="P27" s="1" t="s">
        <v>167</v>
      </c>
      <c r="S27" s="1" t="s">
        <v>1247</v>
      </c>
      <c r="T27" s="18">
        <f>MEDIAN(N2:N401)</f>
        <v>2</v>
      </c>
    </row>
    <row r="28" spans="1:20" x14ac:dyDescent="0.3">
      <c r="A28" s="1" t="s">
        <v>168</v>
      </c>
      <c r="B28" s="1" t="s">
        <v>169</v>
      </c>
      <c r="C28" s="1"/>
      <c r="D28" s="16">
        <v>399</v>
      </c>
      <c r="E28" s="16">
        <v>123</v>
      </c>
      <c r="F28" s="5">
        <v>0.69</v>
      </c>
      <c r="G28" s="1" t="s">
        <v>32</v>
      </c>
      <c r="H28" s="1">
        <v>1</v>
      </c>
      <c r="I28" s="1" t="s">
        <v>20</v>
      </c>
      <c r="J28" s="1" t="s">
        <v>33</v>
      </c>
      <c r="K28" s="1" t="s">
        <v>22</v>
      </c>
      <c r="L28" s="1" t="s">
        <v>1244</v>
      </c>
      <c r="M28" s="1" t="s">
        <v>36</v>
      </c>
      <c r="N28" s="18">
        <v>1</v>
      </c>
      <c r="O28" s="1" t="s">
        <v>36</v>
      </c>
      <c r="P28" s="1" t="s">
        <v>171</v>
      </c>
      <c r="S28" t="s">
        <v>1248</v>
      </c>
      <c r="T28">
        <f>MODE(N2:N401)</f>
        <v>2</v>
      </c>
    </row>
    <row r="29" spans="1:20" x14ac:dyDescent="0.3">
      <c r="A29" s="1" t="s">
        <v>172</v>
      </c>
      <c r="B29" s="1" t="s">
        <v>173</v>
      </c>
      <c r="C29" s="1"/>
      <c r="D29" s="16">
        <v>349</v>
      </c>
      <c r="E29" s="16">
        <v>126</v>
      </c>
      <c r="F29" s="5">
        <v>0.63</v>
      </c>
      <c r="G29" s="1" t="s">
        <v>32</v>
      </c>
      <c r="H29" s="1">
        <v>1</v>
      </c>
      <c r="I29" s="1" t="s">
        <v>20</v>
      </c>
      <c r="J29" s="1" t="s">
        <v>66</v>
      </c>
      <c r="K29" s="1" t="s">
        <v>22</v>
      </c>
      <c r="L29" s="1" t="s">
        <v>1244</v>
      </c>
      <c r="M29" s="1" t="s">
        <v>36</v>
      </c>
      <c r="N29" s="18">
        <v>0.5</v>
      </c>
      <c r="O29" s="1" t="s">
        <v>36</v>
      </c>
      <c r="P29" s="1" t="s">
        <v>148</v>
      </c>
    </row>
    <row r="30" spans="1:20" x14ac:dyDescent="0.3">
      <c r="A30" s="1" t="s">
        <v>176</v>
      </c>
      <c r="B30" s="1" t="s">
        <v>177</v>
      </c>
      <c r="C30" s="1"/>
      <c r="D30" s="16">
        <v>999</v>
      </c>
      <c r="E30" s="16">
        <v>499</v>
      </c>
      <c r="F30" s="5">
        <v>0.5</v>
      </c>
      <c r="G30" s="1" t="s">
        <v>32</v>
      </c>
      <c r="H30" s="1">
        <v>1</v>
      </c>
      <c r="I30" s="1" t="s">
        <v>20</v>
      </c>
      <c r="J30" s="1" t="s">
        <v>105</v>
      </c>
      <c r="K30" s="1" t="s">
        <v>22</v>
      </c>
      <c r="L30" s="1" t="s">
        <v>23</v>
      </c>
      <c r="M30" s="1" t="s">
        <v>36</v>
      </c>
      <c r="N30" s="18">
        <v>4</v>
      </c>
      <c r="O30" s="1" t="s">
        <v>36</v>
      </c>
      <c r="P30" s="1" t="s">
        <v>180</v>
      </c>
    </row>
    <row r="31" spans="1:20" x14ac:dyDescent="0.3">
      <c r="A31" s="1" t="s">
        <v>181</v>
      </c>
      <c r="B31" s="1" t="s">
        <v>182</v>
      </c>
      <c r="C31" s="1"/>
      <c r="D31" s="16">
        <v>499</v>
      </c>
      <c r="E31" s="16">
        <v>121</v>
      </c>
      <c r="F31" s="5">
        <v>0.75</v>
      </c>
      <c r="G31" s="1" t="s">
        <v>19</v>
      </c>
      <c r="H31" s="1">
        <v>2</v>
      </c>
      <c r="I31" s="1" t="s">
        <v>20</v>
      </c>
      <c r="J31" s="1" t="s">
        <v>66</v>
      </c>
      <c r="K31" s="1" t="s">
        <v>22</v>
      </c>
      <c r="L31" s="1" t="s">
        <v>1244</v>
      </c>
      <c r="M31" s="1" t="s">
        <v>24</v>
      </c>
      <c r="N31" s="18">
        <v>1</v>
      </c>
      <c r="O31" s="1" t="s">
        <v>36</v>
      </c>
      <c r="P31" s="1" t="s">
        <v>73</v>
      </c>
    </row>
    <row r="32" spans="1:20" x14ac:dyDescent="0.3">
      <c r="A32" s="1" t="s">
        <v>184</v>
      </c>
      <c r="B32" s="1" t="s">
        <v>185</v>
      </c>
      <c r="C32" s="1"/>
      <c r="D32" s="16">
        <v>299</v>
      </c>
      <c r="E32" s="16">
        <v>115</v>
      </c>
      <c r="F32" s="5">
        <v>0.61</v>
      </c>
      <c r="G32" s="1" t="s">
        <v>19</v>
      </c>
      <c r="H32" s="1">
        <v>2</v>
      </c>
      <c r="I32" s="1" t="s">
        <v>20</v>
      </c>
      <c r="J32" s="1" t="s">
        <v>33</v>
      </c>
      <c r="K32" s="1" t="s">
        <v>22</v>
      </c>
      <c r="L32" s="1" t="s">
        <v>1244</v>
      </c>
      <c r="M32" s="1" t="s">
        <v>24</v>
      </c>
      <c r="N32" s="18">
        <v>2</v>
      </c>
      <c r="O32" s="1" t="s">
        <v>36</v>
      </c>
      <c r="P32" s="1" t="s">
        <v>188</v>
      </c>
    </row>
    <row r="33" spans="1:16" x14ac:dyDescent="0.3">
      <c r="A33" s="1" t="s">
        <v>189</v>
      </c>
      <c r="B33" s="1" t="s">
        <v>190</v>
      </c>
      <c r="C33" s="1"/>
      <c r="D33" s="16">
        <v>499</v>
      </c>
      <c r="E33" s="16">
        <v>140</v>
      </c>
      <c r="F33" s="5">
        <v>0.71</v>
      </c>
      <c r="G33" s="1" t="s">
        <v>32</v>
      </c>
      <c r="H33" s="1">
        <v>1</v>
      </c>
      <c r="I33" s="1" t="s">
        <v>20</v>
      </c>
      <c r="J33" s="1" t="s">
        <v>43</v>
      </c>
      <c r="K33" s="1" t="s">
        <v>22</v>
      </c>
      <c r="L33" s="1" t="s">
        <v>1244</v>
      </c>
      <c r="M33" s="1" t="s">
        <v>24</v>
      </c>
      <c r="N33" s="18">
        <v>2</v>
      </c>
      <c r="O33" s="1" t="s">
        <v>36</v>
      </c>
      <c r="P33" s="1" t="s">
        <v>191</v>
      </c>
    </row>
    <row r="34" spans="1:16" x14ac:dyDescent="0.3">
      <c r="A34" s="1" t="s">
        <v>192</v>
      </c>
      <c r="B34" s="1" t="s">
        <v>193</v>
      </c>
      <c r="C34" s="1"/>
      <c r="D34" s="16">
        <v>399</v>
      </c>
      <c r="E34" s="16">
        <v>140</v>
      </c>
      <c r="F34" s="5">
        <v>0.64</v>
      </c>
      <c r="G34" s="1" t="s">
        <v>32</v>
      </c>
      <c r="H34" s="1">
        <v>1</v>
      </c>
      <c r="I34" s="1" t="s">
        <v>20</v>
      </c>
      <c r="J34" s="1" t="s">
        <v>43</v>
      </c>
      <c r="K34" s="1" t="s">
        <v>22</v>
      </c>
      <c r="L34" s="1" t="s">
        <v>1244</v>
      </c>
      <c r="M34" s="1" t="s">
        <v>24</v>
      </c>
      <c r="N34" s="18">
        <v>1</v>
      </c>
      <c r="O34" s="1" t="s">
        <v>36</v>
      </c>
      <c r="P34" s="1" t="s">
        <v>195</v>
      </c>
    </row>
    <row r="35" spans="1:16" x14ac:dyDescent="0.3">
      <c r="A35" s="1" t="s">
        <v>196</v>
      </c>
      <c r="B35" s="1" t="s">
        <v>197</v>
      </c>
      <c r="C35" s="1"/>
      <c r="D35" s="16">
        <v>489</v>
      </c>
      <c r="E35" s="16">
        <v>140</v>
      </c>
      <c r="F35" s="5">
        <v>0.71</v>
      </c>
      <c r="G35" s="1" t="s">
        <v>32</v>
      </c>
      <c r="H35" s="1">
        <v>1</v>
      </c>
      <c r="I35" s="1" t="s">
        <v>20</v>
      </c>
      <c r="J35" s="1" t="s">
        <v>66</v>
      </c>
      <c r="K35" s="1" t="s">
        <v>22</v>
      </c>
      <c r="L35" s="1" t="s">
        <v>1244</v>
      </c>
      <c r="M35" s="1" t="s">
        <v>24</v>
      </c>
      <c r="N35" s="18">
        <v>5</v>
      </c>
      <c r="O35" s="1" t="s">
        <v>24</v>
      </c>
      <c r="P35" s="1" t="s">
        <v>199</v>
      </c>
    </row>
    <row r="36" spans="1:16" x14ac:dyDescent="0.3">
      <c r="A36" s="1" t="s">
        <v>200</v>
      </c>
      <c r="B36" s="1" t="s">
        <v>201</v>
      </c>
      <c r="C36" s="1"/>
      <c r="D36" s="16">
        <v>599</v>
      </c>
      <c r="E36" s="16">
        <v>123</v>
      </c>
      <c r="F36" s="5">
        <v>0.79</v>
      </c>
      <c r="G36" s="1" t="s">
        <v>32</v>
      </c>
      <c r="H36" s="1">
        <v>1</v>
      </c>
      <c r="I36" s="1" t="s">
        <v>20</v>
      </c>
      <c r="J36" s="1" t="s">
        <v>98</v>
      </c>
      <c r="K36" s="1" t="s">
        <v>34</v>
      </c>
      <c r="L36" s="1" t="s">
        <v>1244</v>
      </c>
      <c r="M36" s="1" t="s">
        <v>36</v>
      </c>
      <c r="N36" s="18">
        <v>2</v>
      </c>
      <c r="O36" s="1" t="s">
        <v>36</v>
      </c>
      <c r="P36" s="1" t="s">
        <v>38</v>
      </c>
    </row>
    <row r="37" spans="1:16" x14ac:dyDescent="0.3">
      <c r="A37" s="1" t="s">
        <v>202</v>
      </c>
      <c r="B37" s="1" t="s">
        <v>203</v>
      </c>
      <c r="C37" s="1"/>
      <c r="D37" s="16">
        <v>549</v>
      </c>
      <c r="E37" s="16">
        <v>127</v>
      </c>
      <c r="F37" s="5">
        <v>0.76</v>
      </c>
      <c r="G37" s="1" t="s">
        <v>32</v>
      </c>
      <c r="H37" s="1">
        <v>1</v>
      </c>
      <c r="I37" s="1" t="s">
        <v>20</v>
      </c>
      <c r="J37" s="1" t="s">
        <v>43</v>
      </c>
      <c r="K37" s="1" t="s">
        <v>34</v>
      </c>
      <c r="L37" s="1" t="s">
        <v>1244</v>
      </c>
      <c r="M37" s="1" t="s">
        <v>36</v>
      </c>
      <c r="N37" s="18">
        <v>2</v>
      </c>
      <c r="O37" s="1" t="s">
        <v>36</v>
      </c>
      <c r="P37" s="1" t="s">
        <v>38</v>
      </c>
    </row>
    <row r="38" spans="1:16" x14ac:dyDescent="0.3">
      <c r="A38" s="1" t="s">
        <v>207</v>
      </c>
      <c r="B38" s="1" t="s">
        <v>208</v>
      </c>
      <c r="C38" s="1"/>
      <c r="D38" s="16">
        <v>299</v>
      </c>
      <c r="E38" s="16">
        <v>180</v>
      </c>
      <c r="F38" s="5">
        <v>0.39</v>
      </c>
      <c r="G38" s="1" t="s">
        <v>19</v>
      </c>
      <c r="H38" s="1">
        <v>2</v>
      </c>
      <c r="I38" s="1" t="s">
        <v>20</v>
      </c>
      <c r="J38" s="1" t="s">
        <v>43</v>
      </c>
      <c r="K38" s="1" t="s">
        <v>211</v>
      </c>
      <c r="L38" s="1" t="s">
        <v>1244</v>
      </c>
      <c r="M38" s="1" t="s">
        <v>36</v>
      </c>
      <c r="N38" s="18">
        <v>0.5</v>
      </c>
      <c r="O38" s="1" t="s">
        <v>36</v>
      </c>
      <c r="P38" s="1" t="s">
        <v>213</v>
      </c>
    </row>
    <row r="39" spans="1:16" x14ac:dyDescent="0.3">
      <c r="A39" s="1" t="s">
        <v>214</v>
      </c>
      <c r="B39" s="1" t="s">
        <v>215</v>
      </c>
      <c r="C39" s="1"/>
      <c r="D39" s="16">
        <v>399</v>
      </c>
      <c r="E39" s="16">
        <v>130</v>
      </c>
      <c r="F39" s="5">
        <v>0.67</v>
      </c>
      <c r="G39" s="1" t="s">
        <v>32</v>
      </c>
      <c r="H39" s="1">
        <v>1</v>
      </c>
      <c r="I39" s="1" t="s">
        <v>20</v>
      </c>
      <c r="J39" s="1" t="s">
        <v>98</v>
      </c>
      <c r="K39" s="1" t="s">
        <v>34</v>
      </c>
      <c r="L39" s="1" t="s">
        <v>1244</v>
      </c>
      <c r="M39" s="1" t="s">
        <v>36</v>
      </c>
      <c r="N39" s="18">
        <v>2</v>
      </c>
      <c r="O39" s="1" t="s">
        <v>36</v>
      </c>
      <c r="P39" s="1" t="s">
        <v>216</v>
      </c>
    </row>
    <row r="40" spans="1:16" x14ac:dyDescent="0.3">
      <c r="A40" s="1" t="s">
        <v>217</v>
      </c>
      <c r="B40" s="1" t="s">
        <v>218</v>
      </c>
      <c r="C40" s="1"/>
      <c r="D40" s="16">
        <v>499</v>
      </c>
      <c r="E40" s="16">
        <v>258</v>
      </c>
      <c r="F40" s="5">
        <v>0.48</v>
      </c>
      <c r="G40" s="1" t="s">
        <v>19</v>
      </c>
      <c r="H40" s="1">
        <v>2</v>
      </c>
      <c r="I40" s="1" t="s">
        <v>20</v>
      </c>
      <c r="J40" s="1" t="s">
        <v>91</v>
      </c>
      <c r="K40" s="1" t="s">
        <v>34</v>
      </c>
      <c r="L40" s="1" t="s">
        <v>23</v>
      </c>
      <c r="M40" s="1" t="s">
        <v>24</v>
      </c>
      <c r="N40" s="18">
        <v>1</v>
      </c>
      <c r="O40" s="1" t="s">
        <v>36</v>
      </c>
      <c r="P40" s="1" t="s">
        <v>221</v>
      </c>
    </row>
    <row r="41" spans="1:16" x14ac:dyDescent="0.3">
      <c r="A41" s="1" t="s">
        <v>222</v>
      </c>
      <c r="B41" s="1" t="s">
        <v>223</v>
      </c>
      <c r="C41" s="1"/>
      <c r="D41" s="16">
        <v>599</v>
      </c>
      <c r="E41" s="16">
        <v>125</v>
      </c>
      <c r="F41" s="5">
        <v>0.79</v>
      </c>
      <c r="G41" s="1" t="s">
        <v>32</v>
      </c>
      <c r="H41" s="1">
        <v>1</v>
      </c>
      <c r="I41" s="1" t="s">
        <v>20</v>
      </c>
      <c r="J41" s="1" t="s">
        <v>33</v>
      </c>
      <c r="K41" s="1" t="s">
        <v>34</v>
      </c>
      <c r="L41" s="1" t="s">
        <v>1244</v>
      </c>
      <c r="M41" s="1" t="s">
        <v>36</v>
      </c>
      <c r="N41" s="18">
        <v>2</v>
      </c>
      <c r="O41" s="1" t="s">
        <v>36</v>
      </c>
      <c r="P41" s="1" t="s">
        <v>38</v>
      </c>
    </row>
    <row r="42" spans="1:16" x14ac:dyDescent="0.3">
      <c r="A42" s="1" t="s">
        <v>224</v>
      </c>
      <c r="B42" s="1" t="s">
        <v>225</v>
      </c>
      <c r="C42" s="1"/>
      <c r="D42" s="16">
        <v>999</v>
      </c>
      <c r="E42" s="16">
        <v>125</v>
      </c>
      <c r="F42" s="5">
        <v>0.87</v>
      </c>
      <c r="G42" s="1" t="s">
        <v>32</v>
      </c>
      <c r="H42" s="1">
        <v>1</v>
      </c>
      <c r="I42" s="1" t="s">
        <v>20</v>
      </c>
      <c r="J42" s="1" t="s">
        <v>135</v>
      </c>
      <c r="K42" s="1" t="s">
        <v>34</v>
      </c>
      <c r="L42" s="1" t="s">
        <v>1244</v>
      </c>
      <c r="M42" s="1" t="s">
        <v>36</v>
      </c>
      <c r="N42" s="18">
        <v>2</v>
      </c>
      <c r="O42" s="1" t="s">
        <v>36</v>
      </c>
      <c r="P42" s="1" t="s">
        <v>227</v>
      </c>
    </row>
    <row r="43" spans="1:16" x14ac:dyDescent="0.3">
      <c r="A43" s="1" t="s">
        <v>228</v>
      </c>
      <c r="B43" s="1" t="s">
        <v>218</v>
      </c>
      <c r="C43" s="1"/>
      <c r="D43" s="16">
        <v>499</v>
      </c>
      <c r="E43" s="16">
        <v>258</v>
      </c>
      <c r="F43" s="5">
        <v>0.48</v>
      </c>
      <c r="G43" s="1" t="s">
        <v>19</v>
      </c>
      <c r="H43" s="1">
        <v>2</v>
      </c>
      <c r="I43" s="1" t="s">
        <v>20</v>
      </c>
      <c r="J43" s="1" t="s">
        <v>91</v>
      </c>
      <c r="K43" s="1" t="s">
        <v>34</v>
      </c>
      <c r="L43" s="1" t="s">
        <v>23</v>
      </c>
      <c r="M43" s="1" t="s">
        <v>24</v>
      </c>
      <c r="N43" s="18">
        <v>1</v>
      </c>
      <c r="O43" s="1" t="s">
        <v>36</v>
      </c>
      <c r="P43" s="1" t="s">
        <v>221</v>
      </c>
    </row>
    <row r="44" spans="1:16" x14ac:dyDescent="0.3">
      <c r="A44" s="1" t="s">
        <v>229</v>
      </c>
      <c r="B44" s="1" t="s">
        <v>208</v>
      </c>
      <c r="C44" s="1"/>
      <c r="D44" s="16">
        <v>299</v>
      </c>
      <c r="E44" s="16">
        <v>180</v>
      </c>
      <c r="F44" s="5">
        <v>0.39</v>
      </c>
      <c r="G44" s="1" t="s">
        <v>19</v>
      </c>
      <c r="H44" s="1">
        <v>2</v>
      </c>
      <c r="I44" s="1" t="s">
        <v>20</v>
      </c>
      <c r="J44" s="1" t="s">
        <v>43</v>
      </c>
      <c r="K44" s="1" t="s">
        <v>211</v>
      </c>
      <c r="L44" s="1" t="s">
        <v>1244</v>
      </c>
      <c r="M44" s="1" t="s">
        <v>36</v>
      </c>
      <c r="N44" s="18">
        <v>0.5</v>
      </c>
      <c r="O44" s="1" t="s">
        <v>36</v>
      </c>
      <c r="P44" s="1" t="s">
        <v>213</v>
      </c>
    </row>
    <row r="45" spans="1:16" x14ac:dyDescent="0.3">
      <c r="A45" s="1" t="s">
        <v>230</v>
      </c>
      <c r="B45" s="1" t="s">
        <v>203</v>
      </c>
      <c r="C45" s="1"/>
      <c r="D45" s="16">
        <v>549</v>
      </c>
      <c r="E45" s="16">
        <v>127</v>
      </c>
      <c r="F45" s="5">
        <v>0.76</v>
      </c>
      <c r="G45" s="1" t="s">
        <v>32</v>
      </c>
      <c r="H45" s="1">
        <v>1</v>
      </c>
      <c r="I45" s="1" t="s">
        <v>20</v>
      </c>
      <c r="J45" s="1" t="s">
        <v>43</v>
      </c>
      <c r="K45" s="1" t="s">
        <v>34</v>
      </c>
      <c r="L45" s="1" t="s">
        <v>1244</v>
      </c>
      <c r="M45" s="1" t="s">
        <v>36</v>
      </c>
      <c r="N45" s="18">
        <v>2</v>
      </c>
      <c r="O45" s="1" t="s">
        <v>36</v>
      </c>
      <c r="P45" s="1" t="s">
        <v>38</v>
      </c>
    </row>
    <row r="46" spans="1:16" x14ac:dyDescent="0.3">
      <c r="A46" s="1" t="s">
        <v>231</v>
      </c>
      <c r="B46" s="1" t="s">
        <v>223</v>
      </c>
      <c r="C46" s="1"/>
      <c r="D46" s="16">
        <v>599</v>
      </c>
      <c r="E46" s="16">
        <v>125</v>
      </c>
      <c r="F46" s="5">
        <v>0.79</v>
      </c>
      <c r="G46" s="1" t="s">
        <v>32</v>
      </c>
      <c r="H46" s="1">
        <v>1</v>
      </c>
      <c r="I46" s="1" t="s">
        <v>20</v>
      </c>
      <c r="J46" s="1" t="s">
        <v>33</v>
      </c>
      <c r="K46" s="1" t="s">
        <v>34</v>
      </c>
      <c r="L46" s="1" t="s">
        <v>1244</v>
      </c>
      <c r="M46" s="1" t="s">
        <v>36</v>
      </c>
      <c r="N46" s="18">
        <v>2</v>
      </c>
      <c r="O46" s="1" t="s">
        <v>36</v>
      </c>
      <c r="P46" s="1" t="s">
        <v>38</v>
      </c>
    </row>
    <row r="47" spans="1:16" x14ac:dyDescent="0.3">
      <c r="A47" s="1" t="s">
        <v>232</v>
      </c>
      <c r="B47" s="1" t="s">
        <v>215</v>
      </c>
      <c r="C47" s="1"/>
      <c r="D47" s="16">
        <v>399</v>
      </c>
      <c r="E47" s="16">
        <v>130</v>
      </c>
      <c r="F47" s="5">
        <v>0.67</v>
      </c>
      <c r="G47" s="1" t="s">
        <v>32</v>
      </c>
      <c r="H47" s="1">
        <v>1</v>
      </c>
      <c r="I47" s="1" t="s">
        <v>20</v>
      </c>
      <c r="J47" s="1" t="s">
        <v>98</v>
      </c>
      <c r="K47" s="1" t="s">
        <v>34</v>
      </c>
      <c r="L47" s="1" t="s">
        <v>1244</v>
      </c>
      <c r="M47" s="1" t="s">
        <v>36</v>
      </c>
      <c r="N47" s="18">
        <v>2</v>
      </c>
      <c r="O47" s="1" t="s">
        <v>36</v>
      </c>
      <c r="P47" s="1" t="s">
        <v>216</v>
      </c>
    </row>
    <row r="48" spans="1:16" x14ac:dyDescent="0.3">
      <c r="A48" s="1" t="s">
        <v>233</v>
      </c>
      <c r="B48" s="1" t="s">
        <v>234</v>
      </c>
      <c r="C48" s="1"/>
      <c r="D48" s="16">
        <v>499</v>
      </c>
      <c r="E48" s="16">
        <v>189</v>
      </c>
      <c r="F48" s="5">
        <v>0.62</v>
      </c>
      <c r="G48" s="1" t="s">
        <v>19</v>
      </c>
      <c r="H48" s="1">
        <v>2</v>
      </c>
      <c r="I48" s="1" t="s">
        <v>20</v>
      </c>
      <c r="J48" s="1" t="s">
        <v>33</v>
      </c>
      <c r="K48" s="1" t="s">
        <v>34</v>
      </c>
      <c r="L48" s="1" t="s">
        <v>1244</v>
      </c>
      <c r="M48" s="1" t="s">
        <v>36</v>
      </c>
      <c r="N48" s="18">
        <v>2</v>
      </c>
      <c r="O48" s="1" t="s">
        <v>36</v>
      </c>
      <c r="P48" s="1" t="s">
        <v>238</v>
      </c>
    </row>
    <row r="49" spans="1:16" x14ac:dyDescent="0.3">
      <c r="A49" s="1" t="s">
        <v>239</v>
      </c>
      <c r="B49" s="1" t="s">
        <v>240</v>
      </c>
      <c r="C49" s="1"/>
      <c r="D49" s="16">
        <v>199</v>
      </c>
      <c r="E49" s="16">
        <v>132</v>
      </c>
      <c r="F49" s="5">
        <v>0.33</v>
      </c>
      <c r="G49" s="1" t="s">
        <v>19</v>
      </c>
      <c r="H49" s="1">
        <v>2</v>
      </c>
      <c r="I49" s="1" t="s">
        <v>20</v>
      </c>
      <c r="J49" s="1" t="s">
        <v>243</v>
      </c>
      <c r="K49" s="1" t="s">
        <v>22</v>
      </c>
      <c r="L49" s="1" t="s">
        <v>23</v>
      </c>
      <c r="M49" s="1" t="s">
        <v>36</v>
      </c>
      <c r="N49" s="18">
        <v>1</v>
      </c>
      <c r="O49" s="1" t="s">
        <v>36</v>
      </c>
      <c r="P49" s="1" t="s">
        <v>244</v>
      </c>
    </row>
    <row r="50" spans="1:16" x14ac:dyDescent="0.3">
      <c r="A50" s="1" t="s">
        <v>245</v>
      </c>
      <c r="B50" s="1" t="s">
        <v>246</v>
      </c>
      <c r="C50" s="1"/>
      <c r="D50" s="16">
        <v>499</v>
      </c>
      <c r="E50" s="16">
        <v>123</v>
      </c>
      <c r="F50" s="5">
        <v>0.75</v>
      </c>
      <c r="G50" s="1" t="s">
        <v>19</v>
      </c>
      <c r="H50" s="1">
        <v>2</v>
      </c>
      <c r="I50" s="1" t="s">
        <v>20</v>
      </c>
      <c r="J50" s="1" t="s">
        <v>33</v>
      </c>
      <c r="K50" s="1" t="s">
        <v>22</v>
      </c>
      <c r="L50" s="1" t="s">
        <v>1244</v>
      </c>
      <c r="M50" s="1" t="s">
        <v>24</v>
      </c>
      <c r="N50" s="18">
        <v>2</v>
      </c>
      <c r="O50" s="1" t="s">
        <v>36</v>
      </c>
      <c r="P50" s="1" t="s">
        <v>247</v>
      </c>
    </row>
    <row r="51" spans="1:16" x14ac:dyDescent="0.3">
      <c r="A51" s="1" t="s">
        <v>248</v>
      </c>
      <c r="B51" s="1" t="s">
        <v>249</v>
      </c>
      <c r="C51" s="1"/>
      <c r="D51" s="16">
        <v>489</v>
      </c>
      <c r="E51" s="16">
        <v>165</v>
      </c>
      <c r="F51" s="5">
        <v>0.66</v>
      </c>
      <c r="G51" s="1" t="s">
        <v>32</v>
      </c>
      <c r="H51" s="1">
        <v>1</v>
      </c>
      <c r="I51" s="1" t="s">
        <v>20</v>
      </c>
      <c r="J51" s="1" t="s">
        <v>21</v>
      </c>
      <c r="K51" s="1" t="s">
        <v>22</v>
      </c>
      <c r="L51" s="1" t="s">
        <v>23</v>
      </c>
      <c r="M51" s="1" t="s">
        <v>36</v>
      </c>
      <c r="N51" s="18">
        <v>2</v>
      </c>
      <c r="O51" s="1" t="s">
        <v>36</v>
      </c>
      <c r="P51" s="1" t="s">
        <v>252</v>
      </c>
    </row>
    <row r="52" spans="1:16" x14ac:dyDescent="0.3">
      <c r="A52" s="1" t="s">
        <v>253</v>
      </c>
      <c r="B52" s="1" t="s">
        <v>254</v>
      </c>
      <c r="C52" s="1"/>
      <c r="D52" s="16">
        <v>399</v>
      </c>
      <c r="E52" s="16">
        <v>256</v>
      </c>
      <c r="F52" s="5">
        <v>0.35</v>
      </c>
      <c r="G52" s="1" t="s">
        <v>32</v>
      </c>
      <c r="H52" s="1">
        <v>1</v>
      </c>
      <c r="I52" s="1" t="s">
        <v>20</v>
      </c>
      <c r="J52" s="1" t="s">
        <v>105</v>
      </c>
      <c r="K52" s="1" t="s">
        <v>34</v>
      </c>
      <c r="L52" s="1" t="s">
        <v>23</v>
      </c>
      <c r="M52" s="1" t="s">
        <v>36</v>
      </c>
      <c r="N52" s="18">
        <v>1</v>
      </c>
      <c r="O52" s="1" t="s">
        <v>24</v>
      </c>
      <c r="P52" s="1" t="s">
        <v>257</v>
      </c>
    </row>
    <row r="53" spans="1:16" x14ac:dyDescent="0.3">
      <c r="A53" s="1" t="s">
        <v>258</v>
      </c>
      <c r="B53" s="1" t="s">
        <v>259</v>
      </c>
      <c r="C53" s="1"/>
      <c r="D53" s="16">
        <v>904</v>
      </c>
      <c r="E53" s="16">
        <v>196</v>
      </c>
      <c r="F53" s="5">
        <v>0.78</v>
      </c>
      <c r="G53" s="1" t="s">
        <v>19</v>
      </c>
      <c r="H53" s="1">
        <v>2</v>
      </c>
      <c r="I53" s="1" t="s">
        <v>20</v>
      </c>
      <c r="J53" s="1" t="s">
        <v>33</v>
      </c>
      <c r="K53" s="1" t="s">
        <v>22</v>
      </c>
      <c r="L53" s="1" t="s">
        <v>1244</v>
      </c>
      <c r="M53" s="1" t="s">
        <v>24</v>
      </c>
      <c r="N53" s="18">
        <v>2</v>
      </c>
      <c r="O53" s="1" t="s">
        <v>24</v>
      </c>
      <c r="P53" s="1" t="s">
        <v>216</v>
      </c>
    </row>
    <row r="54" spans="1:16" x14ac:dyDescent="0.3">
      <c r="A54" s="1" t="s">
        <v>262</v>
      </c>
      <c r="B54" s="1" t="s">
        <v>263</v>
      </c>
      <c r="C54" s="1"/>
      <c r="D54" s="16">
        <v>599</v>
      </c>
      <c r="E54" s="16">
        <v>125</v>
      </c>
      <c r="F54" s="5">
        <v>0.79</v>
      </c>
      <c r="G54" s="1" t="s">
        <v>32</v>
      </c>
      <c r="H54" s="1">
        <v>1</v>
      </c>
      <c r="I54" s="1" t="s">
        <v>20</v>
      </c>
      <c r="J54" s="1" t="s">
        <v>66</v>
      </c>
      <c r="K54" s="1" t="s">
        <v>34</v>
      </c>
      <c r="L54" s="1" t="s">
        <v>1244</v>
      </c>
      <c r="M54" s="1" t="s">
        <v>36</v>
      </c>
      <c r="N54" s="18">
        <v>2</v>
      </c>
      <c r="O54" s="1" t="s">
        <v>36</v>
      </c>
      <c r="P54" s="1" t="s">
        <v>38</v>
      </c>
    </row>
    <row r="55" spans="1:16" x14ac:dyDescent="0.3">
      <c r="A55" s="1" t="s">
        <v>264</v>
      </c>
      <c r="B55" s="1" t="s">
        <v>265</v>
      </c>
      <c r="C55" s="1"/>
      <c r="D55" s="16">
        <v>350</v>
      </c>
      <c r="E55" s="16">
        <v>126</v>
      </c>
      <c r="F55" s="5">
        <v>0.64</v>
      </c>
      <c r="G55" s="1" t="s">
        <v>19</v>
      </c>
      <c r="H55" s="1">
        <v>2</v>
      </c>
      <c r="I55" s="1" t="s">
        <v>20</v>
      </c>
      <c r="J55" s="1" t="s">
        <v>43</v>
      </c>
      <c r="K55" s="1" t="s">
        <v>34</v>
      </c>
      <c r="L55" s="1" t="s">
        <v>1244</v>
      </c>
      <c r="M55" s="1" t="s">
        <v>36</v>
      </c>
      <c r="N55" s="18">
        <v>2</v>
      </c>
      <c r="O55" s="1" t="s">
        <v>36</v>
      </c>
      <c r="P55" s="1" t="s">
        <v>238</v>
      </c>
    </row>
    <row r="56" spans="1:16" x14ac:dyDescent="0.3">
      <c r="A56" s="1" t="s">
        <v>267</v>
      </c>
      <c r="B56" s="1" t="s">
        <v>268</v>
      </c>
      <c r="C56" s="1"/>
      <c r="D56" s="16">
        <v>799</v>
      </c>
      <c r="E56" s="16">
        <v>381</v>
      </c>
      <c r="F56" s="5">
        <v>0.52</v>
      </c>
      <c r="G56" s="1" t="s">
        <v>19</v>
      </c>
      <c r="H56" s="1">
        <v>2</v>
      </c>
      <c r="I56" s="1" t="s">
        <v>20</v>
      </c>
      <c r="J56" s="1" t="s">
        <v>105</v>
      </c>
      <c r="K56" s="1" t="s">
        <v>34</v>
      </c>
      <c r="L56" s="1" t="s">
        <v>1244</v>
      </c>
      <c r="M56" s="1" t="s">
        <v>36</v>
      </c>
      <c r="N56" s="18">
        <v>24</v>
      </c>
      <c r="O56" s="1" t="s">
        <v>24</v>
      </c>
      <c r="P56" s="1" t="s">
        <v>272</v>
      </c>
    </row>
    <row r="57" spans="1:16" x14ac:dyDescent="0.3">
      <c r="A57" s="1" t="s">
        <v>273</v>
      </c>
      <c r="B57" s="1" t="s">
        <v>274</v>
      </c>
      <c r="C57" s="1"/>
      <c r="D57" s="16">
        <v>299</v>
      </c>
      <c r="E57" s="16">
        <v>114</v>
      </c>
      <c r="F57" s="5">
        <v>0.61</v>
      </c>
      <c r="G57" s="1" t="s">
        <v>32</v>
      </c>
      <c r="H57" s="1">
        <v>1</v>
      </c>
      <c r="I57" s="1" t="s">
        <v>20</v>
      </c>
      <c r="J57" s="1" t="s">
        <v>98</v>
      </c>
      <c r="K57" s="1" t="s">
        <v>34</v>
      </c>
      <c r="L57" s="1" t="s">
        <v>1244</v>
      </c>
      <c r="M57" s="1" t="s">
        <v>24</v>
      </c>
      <c r="N57" s="18">
        <v>2</v>
      </c>
      <c r="O57" s="1" t="s">
        <v>36</v>
      </c>
      <c r="P57" s="1" t="s">
        <v>158</v>
      </c>
    </row>
    <row r="58" spans="1:16" x14ac:dyDescent="0.3">
      <c r="A58" s="1" t="s">
        <v>276</v>
      </c>
      <c r="B58" s="1" t="s">
        <v>277</v>
      </c>
      <c r="C58" s="1"/>
      <c r="D58" s="16">
        <v>249</v>
      </c>
      <c r="E58" s="16">
        <v>120</v>
      </c>
      <c r="F58" s="5">
        <v>0.51</v>
      </c>
      <c r="G58" s="1" t="s">
        <v>32</v>
      </c>
      <c r="H58" s="1">
        <v>1</v>
      </c>
      <c r="I58" s="1" t="s">
        <v>20</v>
      </c>
      <c r="J58" s="1" t="s">
        <v>66</v>
      </c>
      <c r="K58" s="1" t="s">
        <v>22</v>
      </c>
      <c r="L58" s="1" t="s">
        <v>1244</v>
      </c>
      <c r="M58" s="1" t="s">
        <v>36</v>
      </c>
      <c r="N58" s="18">
        <v>1</v>
      </c>
      <c r="O58" s="1" t="s">
        <v>36</v>
      </c>
      <c r="P58" s="1" t="s">
        <v>279</v>
      </c>
    </row>
    <row r="59" spans="1:16" x14ac:dyDescent="0.3">
      <c r="A59" s="1" t="s">
        <v>280</v>
      </c>
      <c r="B59" s="1" t="s">
        <v>281</v>
      </c>
      <c r="C59" s="1"/>
      <c r="D59" s="16">
        <v>499</v>
      </c>
      <c r="E59" s="16">
        <v>399</v>
      </c>
      <c r="F59" s="5">
        <v>0.68</v>
      </c>
      <c r="G59" s="1" t="s">
        <v>32</v>
      </c>
      <c r="H59" s="1">
        <v>1</v>
      </c>
      <c r="I59" s="1" t="s">
        <v>20</v>
      </c>
      <c r="J59" s="1" t="s">
        <v>43</v>
      </c>
      <c r="K59" s="1" t="s">
        <v>22</v>
      </c>
      <c r="L59" s="1" t="s">
        <v>1244</v>
      </c>
      <c r="M59" s="1" t="s">
        <v>24</v>
      </c>
      <c r="N59" s="18">
        <v>1</v>
      </c>
      <c r="O59" s="1" t="s">
        <v>36</v>
      </c>
      <c r="P59" s="1" t="s">
        <v>73</v>
      </c>
    </row>
    <row r="60" spans="1:16" x14ac:dyDescent="0.3">
      <c r="A60" s="1" t="s">
        <v>282</v>
      </c>
      <c r="B60" s="1" t="s">
        <v>283</v>
      </c>
      <c r="C60" s="1"/>
      <c r="D60" s="16">
        <v>449</v>
      </c>
      <c r="E60" s="16">
        <v>299</v>
      </c>
      <c r="F60" s="5">
        <v>0.33</v>
      </c>
      <c r="G60" s="1" t="s">
        <v>32</v>
      </c>
      <c r="H60" s="1">
        <v>1</v>
      </c>
      <c r="I60" s="1" t="s">
        <v>20</v>
      </c>
      <c r="J60" s="1" t="s">
        <v>91</v>
      </c>
      <c r="K60" s="1" t="s">
        <v>34</v>
      </c>
      <c r="L60" s="1" t="s">
        <v>23</v>
      </c>
      <c r="M60" s="1" t="s">
        <v>24</v>
      </c>
      <c r="N60" s="18">
        <v>2</v>
      </c>
      <c r="O60" s="1" t="s">
        <v>36</v>
      </c>
      <c r="P60" s="1" t="s">
        <v>106</v>
      </c>
    </row>
    <row r="61" spans="1:16" x14ac:dyDescent="0.3">
      <c r="A61" s="1" t="s">
        <v>284</v>
      </c>
      <c r="B61" s="1" t="s">
        <v>285</v>
      </c>
      <c r="C61" s="1"/>
      <c r="D61" s="16">
        <v>499</v>
      </c>
      <c r="E61" s="16">
        <v>139</v>
      </c>
      <c r="F61" s="5">
        <v>0.72</v>
      </c>
      <c r="G61" s="1" t="s">
        <v>19</v>
      </c>
      <c r="H61" s="1">
        <v>2</v>
      </c>
      <c r="I61" s="1" t="s">
        <v>20</v>
      </c>
      <c r="J61" s="1" t="s">
        <v>21</v>
      </c>
      <c r="K61" s="1" t="s">
        <v>34</v>
      </c>
      <c r="L61" s="1" t="s">
        <v>1244</v>
      </c>
      <c r="M61" s="1" t="s">
        <v>36</v>
      </c>
      <c r="N61" s="18">
        <v>2</v>
      </c>
      <c r="O61" s="1" t="s">
        <v>36</v>
      </c>
      <c r="P61" s="1" t="s">
        <v>238</v>
      </c>
    </row>
    <row r="62" spans="1:16" x14ac:dyDescent="0.3">
      <c r="A62" s="1" t="s">
        <v>286</v>
      </c>
      <c r="B62" s="1" t="s">
        <v>287</v>
      </c>
      <c r="C62" s="1"/>
      <c r="D62" s="16">
        <v>599</v>
      </c>
      <c r="E62" s="16">
        <v>226</v>
      </c>
      <c r="F62" s="5">
        <v>0.62</v>
      </c>
      <c r="G62" s="1" t="s">
        <v>19</v>
      </c>
      <c r="H62" s="1">
        <v>2</v>
      </c>
      <c r="I62" s="1" t="s">
        <v>20</v>
      </c>
      <c r="J62" s="1" t="s">
        <v>66</v>
      </c>
      <c r="K62" s="1" t="s">
        <v>22</v>
      </c>
      <c r="L62" s="1" t="s">
        <v>1244</v>
      </c>
      <c r="M62" s="1" t="s">
        <v>36</v>
      </c>
      <c r="N62" s="18">
        <v>2</v>
      </c>
      <c r="O62" s="1" t="s">
        <v>36</v>
      </c>
      <c r="P62" s="1" t="s">
        <v>289</v>
      </c>
    </row>
    <row r="63" spans="1:16" x14ac:dyDescent="0.3">
      <c r="A63" s="1" t="s">
        <v>290</v>
      </c>
      <c r="B63" s="1" t="s">
        <v>291</v>
      </c>
      <c r="C63" s="1"/>
      <c r="D63" s="16">
        <v>589</v>
      </c>
      <c r="E63" s="16">
        <v>125</v>
      </c>
      <c r="F63" s="5">
        <v>0.78</v>
      </c>
      <c r="G63" s="1" t="s">
        <v>32</v>
      </c>
      <c r="H63" s="1">
        <v>1</v>
      </c>
      <c r="I63" s="1" t="s">
        <v>20</v>
      </c>
      <c r="J63" s="1" t="s">
        <v>21</v>
      </c>
      <c r="K63" s="1" t="s">
        <v>34</v>
      </c>
      <c r="L63" s="1" t="s">
        <v>1244</v>
      </c>
      <c r="M63" s="1" t="s">
        <v>36</v>
      </c>
      <c r="N63" s="18">
        <v>2</v>
      </c>
      <c r="O63" s="1" t="s">
        <v>36</v>
      </c>
      <c r="P63" s="1" t="s">
        <v>294</v>
      </c>
    </row>
    <row r="64" spans="1:16" x14ac:dyDescent="0.3">
      <c r="A64" s="1" t="s">
        <v>295</v>
      </c>
      <c r="B64" s="1" t="s">
        <v>296</v>
      </c>
      <c r="C64" s="1"/>
      <c r="D64" s="16">
        <v>408</v>
      </c>
      <c r="E64" s="16">
        <v>118</v>
      </c>
      <c r="F64" s="5">
        <v>0.71</v>
      </c>
      <c r="G64" s="1" t="s">
        <v>19</v>
      </c>
      <c r="H64" s="1">
        <v>2</v>
      </c>
      <c r="I64" s="1" t="s">
        <v>20</v>
      </c>
      <c r="J64" s="1" t="s">
        <v>33</v>
      </c>
      <c r="K64" s="1" t="s">
        <v>22</v>
      </c>
      <c r="L64" s="1" t="s">
        <v>1244</v>
      </c>
      <c r="M64" s="1" t="s">
        <v>36</v>
      </c>
      <c r="N64" s="18">
        <v>2</v>
      </c>
      <c r="O64" s="1" t="s">
        <v>36</v>
      </c>
      <c r="P64" s="1" t="s">
        <v>38</v>
      </c>
    </row>
    <row r="65" spans="1:16" x14ac:dyDescent="0.3">
      <c r="A65" s="1" t="s">
        <v>298</v>
      </c>
      <c r="B65" s="1" t="s">
        <v>299</v>
      </c>
      <c r="C65" s="1"/>
      <c r="D65" s="16">
        <v>398</v>
      </c>
      <c r="E65" s="16">
        <v>118</v>
      </c>
      <c r="F65" s="5">
        <v>0.7</v>
      </c>
      <c r="G65" s="1" t="s">
        <v>32</v>
      </c>
      <c r="H65" s="1">
        <v>1</v>
      </c>
      <c r="I65" s="1" t="s">
        <v>20</v>
      </c>
      <c r="J65" s="1" t="s">
        <v>66</v>
      </c>
      <c r="K65" s="1" t="s">
        <v>22</v>
      </c>
      <c r="L65" s="1" t="s">
        <v>1244</v>
      </c>
      <c r="M65" s="1" t="s">
        <v>36</v>
      </c>
      <c r="N65" s="18">
        <v>1</v>
      </c>
      <c r="O65" s="1" t="s">
        <v>36</v>
      </c>
      <c r="P65" s="1" t="s">
        <v>300</v>
      </c>
    </row>
    <row r="66" spans="1:16" x14ac:dyDescent="0.3">
      <c r="A66" s="1" t="s">
        <v>301</v>
      </c>
      <c r="B66" s="1" t="s">
        <v>302</v>
      </c>
      <c r="C66" s="1"/>
      <c r="D66" s="16">
        <v>499</v>
      </c>
      <c r="E66" s="16">
        <v>149</v>
      </c>
      <c r="F66" s="5">
        <v>0.7</v>
      </c>
      <c r="G66" s="1" t="s">
        <v>32</v>
      </c>
      <c r="H66" s="1">
        <v>1</v>
      </c>
      <c r="I66" s="1" t="s">
        <v>20</v>
      </c>
      <c r="J66" s="1" t="s">
        <v>21</v>
      </c>
      <c r="K66" s="1" t="s">
        <v>22</v>
      </c>
      <c r="L66" s="1" t="s">
        <v>23</v>
      </c>
      <c r="M66" s="1" t="s">
        <v>24</v>
      </c>
      <c r="N66" s="18">
        <v>2</v>
      </c>
      <c r="O66" s="1" t="s">
        <v>24</v>
      </c>
      <c r="P66" s="1" t="s">
        <v>303</v>
      </c>
    </row>
    <row r="67" spans="1:16" x14ac:dyDescent="0.3">
      <c r="A67" s="1" t="s">
        <v>304</v>
      </c>
      <c r="B67" s="1" t="s">
        <v>305</v>
      </c>
      <c r="C67" s="1"/>
      <c r="D67" s="16">
        <v>270</v>
      </c>
      <c r="E67" s="16">
        <v>132</v>
      </c>
      <c r="F67" s="5">
        <v>0.51</v>
      </c>
      <c r="G67" s="1" t="s">
        <v>32</v>
      </c>
      <c r="H67" s="1">
        <v>1</v>
      </c>
      <c r="I67" s="1" t="s">
        <v>20</v>
      </c>
      <c r="J67" s="1" t="s">
        <v>43</v>
      </c>
      <c r="K67" s="1" t="s">
        <v>22</v>
      </c>
      <c r="L67" s="1" t="s">
        <v>1244</v>
      </c>
      <c r="M67" s="1" t="s">
        <v>24</v>
      </c>
      <c r="N67" s="18">
        <v>0.2</v>
      </c>
      <c r="O67" s="1" t="s">
        <v>36</v>
      </c>
      <c r="P67" s="1" t="s">
        <v>307</v>
      </c>
    </row>
    <row r="68" spans="1:16" x14ac:dyDescent="0.3">
      <c r="A68" s="1" t="s">
        <v>308</v>
      </c>
      <c r="B68" s="1" t="s">
        <v>309</v>
      </c>
      <c r="C68" s="1"/>
      <c r="D68" s="16">
        <v>249</v>
      </c>
      <c r="E68" s="16">
        <v>119</v>
      </c>
      <c r="F68" s="5">
        <v>0.52</v>
      </c>
      <c r="G68" s="1" t="s">
        <v>32</v>
      </c>
      <c r="H68" s="1">
        <v>1</v>
      </c>
      <c r="I68" s="1" t="s">
        <v>20</v>
      </c>
      <c r="J68" s="1" t="s">
        <v>43</v>
      </c>
      <c r="K68" s="1" t="s">
        <v>22</v>
      </c>
      <c r="L68" s="1" t="s">
        <v>1244</v>
      </c>
      <c r="M68" s="1" t="s">
        <v>36</v>
      </c>
      <c r="N68" s="18">
        <v>1</v>
      </c>
      <c r="O68" s="1" t="s">
        <v>36</v>
      </c>
      <c r="P68" s="1" t="s">
        <v>311</v>
      </c>
    </row>
    <row r="69" spans="1:16" x14ac:dyDescent="0.3">
      <c r="A69" s="1" t="s">
        <v>312</v>
      </c>
      <c r="B69" s="1" t="s">
        <v>313</v>
      </c>
      <c r="C69" s="1"/>
      <c r="D69" s="16">
        <v>489</v>
      </c>
      <c r="E69" s="16">
        <v>149</v>
      </c>
      <c r="F69" s="5">
        <v>0.69</v>
      </c>
      <c r="G69" s="1" t="s">
        <v>19</v>
      </c>
      <c r="H69" s="1">
        <v>2</v>
      </c>
      <c r="I69" s="1" t="s">
        <v>20</v>
      </c>
      <c r="J69" s="1" t="s">
        <v>66</v>
      </c>
      <c r="K69" s="1" t="s">
        <v>34</v>
      </c>
      <c r="L69" s="1" t="s">
        <v>1244</v>
      </c>
      <c r="M69" s="1" t="s">
        <v>36</v>
      </c>
      <c r="N69" s="18">
        <v>2</v>
      </c>
      <c r="O69" s="1" t="s">
        <v>36</v>
      </c>
      <c r="P69" s="1" t="s">
        <v>238</v>
      </c>
    </row>
    <row r="70" spans="1:16" x14ac:dyDescent="0.3">
      <c r="A70" s="1" t="s">
        <v>314</v>
      </c>
      <c r="B70" s="1" t="s">
        <v>315</v>
      </c>
      <c r="C70" s="1"/>
      <c r="D70" s="16">
        <v>229</v>
      </c>
      <c r="E70" s="16">
        <v>120</v>
      </c>
      <c r="F70" s="5">
        <v>0.47</v>
      </c>
      <c r="G70" s="1" t="s">
        <v>32</v>
      </c>
      <c r="H70" s="1">
        <v>1</v>
      </c>
      <c r="I70" s="1" t="s">
        <v>20</v>
      </c>
      <c r="J70" s="1" t="s">
        <v>43</v>
      </c>
      <c r="K70" s="1" t="s">
        <v>22</v>
      </c>
      <c r="L70" s="1" t="s">
        <v>1244</v>
      </c>
      <c r="M70" s="1" t="s">
        <v>24</v>
      </c>
      <c r="N70" s="18">
        <v>0.9</v>
      </c>
      <c r="O70" s="1" t="s">
        <v>36</v>
      </c>
      <c r="P70" s="1" t="s">
        <v>319</v>
      </c>
    </row>
    <row r="71" spans="1:16" x14ac:dyDescent="0.3">
      <c r="A71" s="1" t="s">
        <v>320</v>
      </c>
      <c r="B71" s="1" t="s">
        <v>321</v>
      </c>
      <c r="C71" s="1"/>
      <c r="D71" s="16">
        <v>399</v>
      </c>
      <c r="E71" s="16">
        <v>160</v>
      </c>
      <c r="F71" s="5">
        <v>0.59</v>
      </c>
      <c r="G71" s="1" t="s">
        <v>32</v>
      </c>
      <c r="H71" s="1">
        <v>1</v>
      </c>
      <c r="I71" s="1" t="s">
        <v>20</v>
      </c>
      <c r="J71" s="1" t="s">
        <v>322</v>
      </c>
      <c r="K71" s="1" t="s">
        <v>22</v>
      </c>
      <c r="L71" s="1" t="s">
        <v>23</v>
      </c>
      <c r="M71" s="1" t="s">
        <v>24</v>
      </c>
      <c r="N71" s="18">
        <v>2</v>
      </c>
      <c r="O71" s="1" t="s">
        <v>24</v>
      </c>
      <c r="P71" s="1" t="s">
        <v>323</v>
      </c>
    </row>
    <row r="72" spans="1:16" x14ac:dyDescent="0.3">
      <c r="A72" s="1" t="s">
        <v>324</v>
      </c>
      <c r="B72" s="1" t="s">
        <v>325</v>
      </c>
      <c r="C72" s="1"/>
      <c r="D72" s="16">
        <v>499</v>
      </c>
      <c r="E72" s="16">
        <v>135</v>
      </c>
      <c r="F72" s="5">
        <v>0.72</v>
      </c>
      <c r="G72" s="1" t="s">
        <v>32</v>
      </c>
      <c r="H72" s="1">
        <v>1</v>
      </c>
      <c r="I72" s="1" t="s">
        <v>20</v>
      </c>
      <c r="J72" s="1" t="s">
        <v>33</v>
      </c>
      <c r="K72" s="1" t="s">
        <v>22</v>
      </c>
      <c r="L72" s="1" t="s">
        <v>1244</v>
      </c>
      <c r="M72" s="1" t="s">
        <v>36</v>
      </c>
      <c r="N72" s="18">
        <v>1</v>
      </c>
      <c r="O72" s="1" t="s">
        <v>36</v>
      </c>
      <c r="P72" s="1" t="s">
        <v>73</v>
      </c>
    </row>
    <row r="73" spans="1:16" x14ac:dyDescent="0.3">
      <c r="A73" s="1" t="s">
        <v>327</v>
      </c>
      <c r="B73" s="1" t="s">
        <v>328</v>
      </c>
      <c r="C73" s="1"/>
      <c r="D73" s="16">
        <v>699</v>
      </c>
      <c r="E73" s="16">
        <v>127</v>
      </c>
      <c r="F73" s="5">
        <v>0.81</v>
      </c>
      <c r="G73" s="1" t="s">
        <v>32</v>
      </c>
      <c r="H73" s="1">
        <v>1</v>
      </c>
      <c r="I73" s="1" t="s">
        <v>20</v>
      </c>
      <c r="J73" s="1" t="s">
        <v>322</v>
      </c>
      <c r="K73" s="1" t="s">
        <v>22</v>
      </c>
      <c r="L73" s="1" t="s">
        <v>1244</v>
      </c>
      <c r="M73" s="1" t="s">
        <v>24</v>
      </c>
      <c r="N73" s="18">
        <v>1.5</v>
      </c>
      <c r="O73" s="1" t="s">
        <v>36</v>
      </c>
      <c r="P73" s="1" t="s">
        <v>332</v>
      </c>
    </row>
    <row r="74" spans="1:16" x14ac:dyDescent="0.3">
      <c r="A74" s="1" t="s">
        <v>333</v>
      </c>
      <c r="B74" s="1" t="s">
        <v>334</v>
      </c>
      <c r="C74" s="1"/>
      <c r="D74" s="16">
        <v>499</v>
      </c>
      <c r="E74" s="16">
        <v>122</v>
      </c>
      <c r="F74" s="5">
        <v>0.75</v>
      </c>
      <c r="G74" s="1" t="s">
        <v>19</v>
      </c>
      <c r="H74" s="1">
        <v>2</v>
      </c>
      <c r="I74" s="1" t="s">
        <v>20</v>
      </c>
      <c r="J74" s="1" t="s">
        <v>33</v>
      </c>
      <c r="K74" s="1" t="s">
        <v>34</v>
      </c>
      <c r="L74" s="1" t="s">
        <v>1244</v>
      </c>
      <c r="M74" s="1" t="s">
        <v>36</v>
      </c>
      <c r="N74" s="18">
        <v>2</v>
      </c>
      <c r="O74" s="1" t="s">
        <v>36</v>
      </c>
      <c r="P74" s="1" t="s">
        <v>336</v>
      </c>
    </row>
    <row r="75" spans="1:16" x14ac:dyDescent="0.3">
      <c r="A75" s="1" t="s">
        <v>337</v>
      </c>
      <c r="B75" s="1" t="s">
        <v>338</v>
      </c>
      <c r="C75" s="1"/>
      <c r="D75" s="16">
        <v>339</v>
      </c>
      <c r="E75" s="16">
        <v>115</v>
      </c>
      <c r="F75" s="5">
        <v>0.66</v>
      </c>
      <c r="G75" s="1" t="s">
        <v>32</v>
      </c>
      <c r="H75" s="1">
        <v>1</v>
      </c>
      <c r="I75" s="1" t="s">
        <v>20</v>
      </c>
      <c r="J75" s="1" t="s">
        <v>43</v>
      </c>
      <c r="K75" s="1" t="s">
        <v>22</v>
      </c>
      <c r="L75" s="1" t="s">
        <v>1244</v>
      </c>
      <c r="M75" s="1" t="s">
        <v>24</v>
      </c>
      <c r="N75" s="18">
        <v>1</v>
      </c>
      <c r="O75" s="1" t="s">
        <v>36</v>
      </c>
      <c r="P75" s="1" t="s">
        <v>340</v>
      </c>
    </row>
    <row r="76" spans="1:16" x14ac:dyDescent="0.3">
      <c r="A76" s="1" t="s">
        <v>341</v>
      </c>
      <c r="B76" s="1" t="s">
        <v>342</v>
      </c>
      <c r="C76" s="1"/>
      <c r="D76" s="16">
        <v>399</v>
      </c>
      <c r="E76" s="16">
        <v>118</v>
      </c>
      <c r="F76" s="5">
        <v>0.7</v>
      </c>
      <c r="G76" s="1" t="s">
        <v>32</v>
      </c>
      <c r="H76" s="1">
        <v>1</v>
      </c>
      <c r="I76" s="1" t="s">
        <v>20</v>
      </c>
      <c r="J76" s="1" t="s">
        <v>66</v>
      </c>
      <c r="K76" s="1" t="s">
        <v>34</v>
      </c>
      <c r="L76" s="1" t="s">
        <v>1244</v>
      </c>
      <c r="M76" s="1" t="s">
        <v>24</v>
      </c>
      <c r="N76" s="18">
        <v>2</v>
      </c>
      <c r="O76" s="1" t="s">
        <v>24</v>
      </c>
      <c r="P76" s="1" t="s">
        <v>343</v>
      </c>
    </row>
    <row r="77" spans="1:16" x14ac:dyDescent="0.3">
      <c r="A77" s="1" t="s">
        <v>344</v>
      </c>
      <c r="B77" s="1" t="s">
        <v>345</v>
      </c>
      <c r="C77" s="1"/>
      <c r="D77" s="16">
        <v>499</v>
      </c>
      <c r="E77" s="16">
        <v>122</v>
      </c>
      <c r="F77" s="5">
        <v>0.75</v>
      </c>
      <c r="G77" s="1" t="s">
        <v>32</v>
      </c>
      <c r="H77" s="1">
        <v>1</v>
      </c>
      <c r="I77" s="1" t="s">
        <v>20</v>
      </c>
      <c r="J77" s="1" t="s">
        <v>33</v>
      </c>
      <c r="K77" s="1" t="s">
        <v>22</v>
      </c>
      <c r="L77" s="1" t="s">
        <v>1244</v>
      </c>
      <c r="M77" s="1" t="s">
        <v>24</v>
      </c>
      <c r="N77" s="18">
        <v>1</v>
      </c>
      <c r="O77" s="1" t="s">
        <v>36</v>
      </c>
      <c r="P77" s="1" t="s">
        <v>73</v>
      </c>
    </row>
    <row r="78" spans="1:16" x14ac:dyDescent="0.3">
      <c r="A78" s="1" t="s">
        <v>346</v>
      </c>
      <c r="B78" s="1" t="s">
        <v>347</v>
      </c>
      <c r="C78" s="1"/>
      <c r="D78" s="16">
        <v>399</v>
      </c>
      <c r="E78" s="16">
        <v>125</v>
      </c>
      <c r="F78" s="5">
        <v>0.68</v>
      </c>
      <c r="G78" s="1" t="s">
        <v>19</v>
      </c>
      <c r="H78" s="1">
        <v>2</v>
      </c>
      <c r="I78" s="1" t="s">
        <v>20</v>
      </c>
      <c r="J78" s="1" t="s">
        <v>105</v>
      </c>
      <c r="K78" s="1" t="s">
        <v>22</v>
      </c>
      <c r="L78" s="1" t="s">
        <v>1244</v>
      </c>
      <c r="M78" s="1" t="s">
        <v>36</v>
      </c>
      <c r="N78" s="18">
        <v>2</v>
      </c>
      <c r="O78" s="1" t="s">
        <v>36</v>
      </c>
      <c r="P78" s="1" t="s">
        <v>57</v>
      </c>
    </row>
    <row r="79" spans="1:16" x14ac:dyDescent="0.3">
      <c r="A79" s="1" t="s">
        <v>348</v>
      </c>
      <c r="B79" s="1" t="s">
        <v>349</v>
      </c>
      <c r="C79" s="1"/>
      <c r="D79" s="16">
        <v>250</v>
      </c>
      <c r="E79" s="16">
        <v>120</v>
      </c>
      <c r="F79" s="5">
        <v>0.52</v>
      </c>
      <c r="G79" s="1" t="s">
        <v>32</v>
      </c>
      <c r="H79" s="1">
        <v>1</v>
      </c>
      <c r="I79" s="1" t="s">
        <v>20</v>
      </c>
      <c r="J79" s="1" t="s">
        <v>33</v>
      </c>
      <c r="K79" s="1" t="s">
        <v>22</v>
      </c>
      <c r="L79" s="1" t="s">
        <v>1244</v>
      </c>
      <c r="M79" s="1" t="s">
        <v>24</v>
      </c>
      <c r="N79" s="18">
        <v>1</v>
      </c>
      <c r="O79" s="1" t="s">
        <v>36</v>
      </c>
      <c r="P79" s="1" t="s">
        <v>167</v>
      </c>
    </row>
    <row r="80" spans="1:16" x14ac:dyDescent="0.3">
      <c r="A80" s="1" t="s">
        <v>351</v>
      </c>
      <c r="B80" s="1" t="s">
        <v>296</v>
      </c>
      <c r="C80" s="1"/>
      <c r="D80" s="16">
        <v>599</v>
      </c>
      <c r="E80" s="16">
        <v>117</v>
      </c>
      <c r="F80" s="5">
        <v>0.8</v>
      </c>
      <c r="G80" s="1" t="s">
        <v>32</v>
      </c>
      <c r="H80" s="1">
        <v>1</v>
      </c>
      <c r="I80" s="1" t="s">
        <v>20</v>
      </c>
      <c r="J80" s="1" t="s">
        <v>33</v>
      </c>
      <c r="K80" s="1" t="s">
        <v>34</v>
      </c>
      <c r="L80" s="1" t="s">
        <v>1244</v>
      </c>
      <c r="M80" s="1" t="s">
        <v>36</v>
      </c>
      <c r="N80" s="18">
        <v>2</v>
      </c>
      <c r="O80" s="1" t="s">
        <v>36</v>
      </c>
      <c r="P80" s="1" t="s">
        <v>38</v>
      </c>
    </row>
    <row r="81" spans="1:16" x14ac:dyDescent="0.3">
      <c r="A81" s="1" t="s">
        <v>354</v>
      </c>
      <c r="B81" s="1" t="s">
        <v>355</v>
      </c>
      <c r="C81" s="1"/>
      <c r="D81" s="16">
        <v>399</v>
      </c>
      <c r="E81" s="16">
        <v>134</v>
      </c>
      <c r="F81" s="5">
        <v>0.66</v>
      </c>
      <c r="G81" s="1" t="s">
        <v>32</v>
      </c>
      <c r="H81" s="1">
        <v>1</v>
      </c>
      <c r="I81" s="1" t="s">
        <v>20</v>
      </c>
      <c r="J81" s="1" t="s">
        <v>43</v>
      </c>
      <c r="K81" s="1" t="s">
        <v>34</v>
      </c>
      <c r="L81" s="1" t="s">
        <v>1244</v>
      </c>
      <c r="M81" s="1" t="s">
        <v>24</v>
      </c>
      <c r="N81" s="18">
        <v>2</v>
      </c>
      <c r="O81" s="1" t="s">
        <v>36</v>
      </c>
      <c r="P81" s="1" t="s">
        <v>51</v>
      </c>
    </row>
    <row r="82" spans="1:16" x14ac:dyDescent="0.3">
      <c r="A82" s="1" t="s">
        <v>357</v>
      </c>
      <c r="B82" s="1" t="s">
        <v>358</v>
      </c>
      <c r="C82" s="1"/>
      <c r="D82" s="16">
        <v>599</v>
      </c>
      <c r="E82" s="16">
        <v>135</v>
      </c>
      <c r="F82" s="5">
        <v>0.77</v>
      </c>
      <c r="G82" s="1" t="s">
        <v>32</v>
      </c>
      <c r="H82" s="1">
        <v>1</v>
      </c>
      <c r="I82" s="1" t="s">
        <v>20</v>
      </c>
      <c r="J82" s="1" t="s">
        <v>33</v>
      </c>
      <c r="K82" s="1" t="s">
        <v>34</v>
      </c>
      <c r="L82" s="1" t="s">
        <v>1244</v>
      </c>
      <c r="M82" s="1" t="s">
        <v>36</v>
      </c>
      <c r="N82" s="18">
        <v>2</v>
      </c>
      <c r="O82" s="1" t="s">
        <v>36</v>
      </c>
      <c r="P82" s="1" t="s">
        <v>38</v>
      </c>
    </row>
    <row r="83" spans="1:16" x14ac:dyDescent="0.3">
      <c r="A83" s="1" t="s">
        <v>360</v>
      </c>
      <c r="B83" s="1" t="s">
        <v>361</v>
      </c>
      <c r="C83" s="1"/>
      <c r="D83" s="16">
        <v>799</v>
      </c>
      <c r="E83" s="16">
        <v>146</v>
      </c>
      <c r="F83" s="5">
        <v>0.81</v>
      </c>
      <c r="G83" s="1" t="s">
        <v>32</v>
      </c>
      <c r="H83" s="1">
        <v>1</v>
      </c>
      <c r="I83" s="1" t="s">
        <v>20</v>
      </c>
      <c r="J83" s="1" t="s">
        <v>322</v>
      </c>
      <c r="K83" s="1" t="s">
        <v>34</v>
      </c>
      <c r="L83" s="1" t="s">
        <v>1244</v>
      </c>
      <c r="M83" s="1" t="s">
        <v>24</v>
      </c>
      <c r="N83" s="18">
        <v>0.2</v>
      </c>
      <c r="O83" s="1" t="s">
        <v>36</v>
      </c>
      <c r="P83" s="1" t="s">
        <v>363</v>
      </c>
    </row>
    <row r="84" spans="1:16" x14ac:dyDescent="0.3">
      <c r="A84" s="1" t="s">
        <v>364</v>
      </c>
      <c r="B84" s="1" t="s">
        <v>365</v>
      </c>
      <c r="C84" s="1"/>
      <c r="D84" s="16">
        <v>432</v>
      </c>
      <c r="E84" s="16">
        <v>135</v>
      </c>
      <c r="F84" s="5">
        <v>0.68</v>
      </c>
      <c r="G84" s="1" t="s">
        <v>32</v>
      </c>
      <c r="H84" s="1">
        <v>1</v>
      </c>
      <c r="I84" s="1" t="s">
        <v>20</v>
      </c>
      <c r="J84" s="1" t="s">
        <v>21</v>
      </c>
      <c r="K84" s="1" t="s">
        <v>22</v>
      </c>
      <c r="L84" s="1" t="s">
        <v>1244</v>
      </c>
      <c r="M84" s="1" t="s">
        <v>36</v>
      </c>
      <c r="N84" s="18">
        <v>2</v>
      </c>
      <c r="O84" s="1" t="s">
        <v>36</v>
      </c>
      <c r="P84" s="1" t="s">
        <v>367</v>
      </c>
    </row>
    <row r="85" spans="1:16" x14ac:dyDescent="0.3">
      <c r="A85" s="1" t="s">
        <v>368</v>
      </c>
      <c r="B85" s="1" t="s">
        <v>369</v>
      </c>
      <c r="C85" s="1"/>
      <c r="D85" s="16">
        <v>499</v>
      </c>
      <c r="E85" s="16">
        <v>119</v>
      </c>
      <c r="F85" s="5">
        <v>0.76</v>
      </c>
      <c r="G85" s="1" t="s">
        <v>32</v>
      </c>
      <c r="H85" s="1">
        <v>1</v>
      </c>
      <c r="I85" s="1" t="s">
        <v>20</v>
      </c>
      <c r="J85" s="1" t="s">
        <v>43</v>
      </c>
      <c r="K85" s="1" t="s">
        <v>22</v>
      </c>
      <c r="L85" s="1" t="s">
        <v>1244</v>
      </c>
      <c r="M85" s="1" t="s">
        <v>24</v>
      </c>
      <c r="N85" s="18">
        <v>1</v>
      </c>
      <c r="O85" s="1" t="s">
        <v>36</v>
      </c>
      <c r="P85" s="1" t="s">
        <v>73</v>
      </c>
    </row>
    <row r="86" spans="1:16" x14ac:dyDescent="0.3">
      <c r="A86" s="1" t="s">
        <v>370</v>
      </c>
      <c r="B86" s="1" t="s">
        <v>371</v>
      </c>
      <c r="C86" s="1"/>
      <c r="D86" s="16">
        <v>153</v>
      </c>
      <c r="E86" s="16">
        <v>112</v>
      </c>
      <c r="F86" s="5">
        <v>0.26</v>
      </c>
      <c r="G86" s="1" t="s">
        <v>32</v>
      </c>
      <c r="H86" s="1">
        <v>1</v>
      </c>
      <c r="I86" s="1" t="s">
        <v>20</v>
      </c>
      <c r="J86" s="1" t="s">
        <v>43</v>
      </c>
      <c r="K86" s="1" t="s">
        <v>34</v>
      </c>
      <c r="L86" s="1" t="s">
        <v>1244</v>
      </c>
      <c r="M86" s="1" t="s">
        <v>36</v>
      </c>
      <c r="N86" s="18">
        <v>2</v>
      </c>
      <c r="O86" s="1" t="s">
        <v>36</v>
      </c>
      <c r="P86" s="1" t="s">
        <v>375</v>
      </c>
    </row>
    <row r="87" spans="1:16" x14ac:dyDescent="0.3">
      <c r="A87" s="1" t="s">
        <v>376</v>
      </c>
      <c r="B87" s="1" t="s">
        <v>377</v>
      </c>
      <c r="C87" s="1"/>
      <c r="D87" s="16">
        <v>999</v>
      </c>
      <c r="E87" s="16">
        <v>146</v>
      </c>
      <c r="F87" s="5">
        <v>0.85</v>
      </c>
      <c r="G87" s="1" t="s">
        <v>32</v>
      </c>
      <c r="H87" s="1">
        <v>1</v>
      </c>
      <c r="I87" s="1" t="s">
        <v>20</v>
      </c>
      <c r="J87" s="1" t="s">
        <v>21</v>
      </c>
      <c r="K87" s="1" t="s">
        <v>22</v>
      </c>
      <c r="L87" s="1" t="s">
        <v>1244</v>
      </c>
      <c r="M87" s="1" t="s">
        <v>36</v>
      </c>
      <c r="N87" s="18">
        <v>2</v>
      </c>
      <c r="O87" s="1" t="s">
        <v>36</v>
      </c>
      <c r="P87" s="1" t="s">
        <v>380</v>
      </c>
    </row>
    <row r="88" spans="1:16" x14ac:dyDescent="0.3">
      <c r="A88" s="1" t="s">
        <v>381</v>
      </c>
      <c r="B88" s="1" t="s">
        <v>382</v>
      </c>
      <c r="C88" s="1"/>
      <c r="D88" s="16">
        <v>799</v>
      </c>
      <c r="E88" s="16">
        <v>399</v>
      </c>
      <c r="F88" s="5">
        <v>0.5</v>
      </c>
      <c r="G88" s="1" t="s">
        <v>32</v>
      </c>
      <c r="H88" s="1">
        <v>1</v>
      </c>
      <c r="I88" s="1" t="s">
        <v>20</v>
      </c>
      <c r="J88" s="1" t="s">
        <v>383</v>
      </c>
      <c r="K88" s="1" t="s">
        <v>22</v>
      </c>
      <c r="L88" s="1" t="s">
        <v>1244</v>
      </c>
      <c r="M88" s="1" t="s">
        <v>24</v>
      </c>
      <c r="N88" s="18">
        <v>1</v>
      </c>
      <c r="O88" s="1" t="s">
        <v>36</v>
      </c>
      <c r="P88" s="1" t="s">
        <v>384</v>
      </c>
    </row>
    <row r="89" spans="1:16" x14ac:dyDescent="0.3">
      <c r="A89" s="1" t="s">
        <v>385</v>
      </c>
      <c r="B89" s="1" t="s">
        <v>386</v>
      </c>
      <c r="C89" s="1"/>
      <c r="D89" s="16">
        <v>499</v>
      </c>
      <c r="E89" s="16">
        <v>191</v>
      </c>
      <c r="F89" s="5">
        <v>0.61</v>
      </c>
      <c r="G89" s="1" t="s">
        <v>32</v>
      </c>
      <c r="H89" s="1">
        <v>1</v>
      </c>
      <c r="I89" s="1" t="s">
        <v>20</v>
      </c>
      <c r="J89" s="1" t="s">
        <v>243</v>
      </c>
      <c r="K89" s="1" t="s">
        <v>34</v>
      </c>
      <c r="L89" s="1" t="s">
        <v>1244</v>
      </c>
      <c r="M89" s="1" t="s">
        <v>36</v>
      </c>
      <c r="N89" s="18">
        <v>2</v>
      </c>
      <c r="O89" s="1" t="s">
        <v>36</v>
      </c>
      <c r="P89" s="1" t="s">
        <v>294</v>
      </c>
    </row>
    <row r="90" spans="1:16" x14ac:dyDescent="0.3">
      <c r="A90" s="1" t="s">
        <v>388</v>
      </c>
      <c r="B90" s="1" t="s">
        <v>389</v>
      </c>
      <c r="C90" s="1"/>
      <c r="D90" s="16">
        <v>499</v>
      </c>
      <c r="E90" s="16">
        <v>124</v>
      </c>
      <c r="F90" s="5">
        <v>0.75</v>
      </c>
      <c r="G90" s="1" t="s">
        <v>32</v>
      </c>
      <c r="H90" s="1">
        <v>1</v>
      </c>
      <c r="I90" s="1" t="s">
        <v>20</v>
      </c>
      <c r="J90" s="1" t="s">
        <v>43</v>
      </c>
      <c r="K90" s="1" t="s">
        <v>34</v>
      </c>
      <c r="L90" s="1" t="s">
        <v>1244</v>
      </c>
      <c r="M90" s="1" t="s">
        <v>36</v>
      </c>
      <c r="N90" s="18">
        <v>0.5</v>
      </c>
      <c r="O90" s="1" t="s">
        <v>36</v>
      </c>
      <c r="P90" s="1" t="s">
        <v>390</v>
      </c>
    </row>
    <row r="91" spans="1:16" x14ac:dyDescent="0.3">
      <c r="A91" s="1" t="s">
        <v>391</v>
      </c>
      <c r="B91" s="1" t="s">
        <v>392</v>
      </c>
      <c r="C91" s="1"/>
      <c r="D91" s="16">
        <v>299</v>
      </c>
      <c r="E91" s="16">
        <v>161</v>
      </c>
      <c r="F91" s="5">
        <v>0.46</v>
      </c>
      <c r="G91" s="1" t="s">
        <v>19</v>
      </c>
      <c r="H91" s="1">
        <v>2</v>
      </c>
      <c r="I91" s="1" t="s">
        <v>20</v>
      </c>
      <c r="J91" s="1" t="s">
        <v>43</v>
      </c>
      <c r="K91" s="1" t="s">
        <v>22</v>
      </c>
      <c r="L91" s="1" t="s">
        <v>1244</v>
      </c>
      <c r="M91" s="1" t="s">
        <v>24</v>
      </c>
      <c r="N91" s="18">
        <v>1</v>
      </c>
      <c r="O91" s="1" t="s">
        <v>24</v>
      </c>
      <c r="P91" s="1" t="s">
        <v>395</v>
      </c>
    </row>
    <row r="92" spans="1:16" x14ac:dyDescent="0.3">
      <c r="A92" s="1" t="s">
        <v>396</v>
      </c>
      <c r="B92" s="1" t="s">
        <v>397</v>
      </c>
      <c r="C92" s="1"/>
      <c r="D92" s="16">
        <v>599</v>
      </c>
      <c r="E92" s="16">
        <v>125</v>
      </c>
      <c r="F92" s="5">
        <v>0.79</v>
      </c>
      <c r="G92" s="1" t="s">
        <v>32</v>
      </c>
      <c r="H92" s="1">
        <v>1</v>
      </c>
      <c r="I92" s="1" t="s">
        <v>20</v>
      </c>
      <c r="J92" s="1" t="s">
        <v>33</v>
      </c>
      <c r="K92" s="1" t="s">
        <v>34</v>
      </c>
      <c r="L92" s="1" t="s">
        <v>1244</v>
      </c>
      <c r="M92" s="1" t="s">
        <v>36</v>
      </c>
      <c r="N92" s="18">
        <v>2</v>
      </c>
      <c r="O92" s="1" t="s">
        <v>36</v>
      </c>
      <c r="P92" s="1" t="s">
        <v>38</v>
      </c>
    </row>
    <row r="93" spans="1:16" x14ac:dyDescent="0.3">
      <c r="A93" s="1" t="s">
        <v>398</v>
      </c>
      <c r="B93" s="1" t="s">
        <v>399</v>
      </c>
      <c r="C93" s="1"/>
      <c r="D93" s="16">
        <v>376</v>
      </c>
      <c r="E93" s="16">
        <v>121</v>
      </c>
      <c r="F93" s="5">
        <v>0.67</v>
      </c>
      <c r="G93" s="1" t="s">
        <v>32</v>
      </c>
      <c r="H93" s="1">
        <v>1</v>
      </c>
      <c r="I93" s="1" t="s">
        <v>20</v>
      </c>
      <c r="J93" s="1" t="s">
        <v>33</v>
      </c>
      <c r="K93" s="1" t="s">
        <v>22</v>
      </c>
      <c r="L93" s="1" t="s">
        <v>23</v>
      </c>
      <c r="M93" s="1" t="s">
        <v>36</v>
      </c>
      <c r="N93" s="18">
        <v>1</v>
      </c>
      <c r="O93" s="1" t="s">
        <v>36</v>
      </c>
      <c r="P93" s="1" t="s">
        <v>38</v>
      </c>
    </row>
    <row r="94" spans="1:16" x14ac:dyDescent="0.3">
      <c r="A94" s="1" t="s">
        <v>401</v>
      </c>
      <c r="B94" s="1" t="s">
        <v>402</v>
      </c>
      <c r="C94" s="1"/>
      <c r="D94" s="16">
        <v>299</v>
      </c>
      <c r="E94" s="16">
        <v>189</v>
      </c>
      <c r="F94" s="5">
        <v>0.36</v>
      </c>
      <c r="G94" s="1" t="s">
        <v>19</v>
      </c>
      <c r="H94" s="1">
        <v>2</v>
      </c>
      <c r="I94" s="1" t="s">
        <v>20</v>
      </c>
      <c r="J94" s="1" t="s">
        <v>33</v>
      </c>
      <c r="K94" s="1" t="s">
        <v>211</v>
      </c>
      <c r="L94" s="1" t="s">
        <v>1244</v>
      </c>
      <c r="M94" s="1" t="s">
        <v>36</v>
      </c>
      <c r="N94" s="18">
        <v>0.5</v>
      </c>
      <c r="O94" s="1" t="s">
        <v>36</v>
      </c>
      <c r="P94" s="1" t="s">
        <v>213</v>
      </c>
    </row>
    <row r="95" spans="1:16" x14ac:dyDescent="0.3">
      <c r="A95" s="1" t="s">
        <v>405</v>
      </c>
      <c r="B95" s="1" t="s">
        <v>406</v>
      </c>
      <c r="C95" s="1"/>
      <c r="D95" s="16">
        <v>599</v>
      </c>
      <c r="E95" s="16">
        <v>220</v>
      </c>
      <c r="F95" s="5">
        <v>0.63</v>
      </c>
      <c r="G95" s="1" t="s">
        <v>32</v>
      </c>
      <c r="H95" s="1">
        <v>1</v>
      </c>
      <c r="I95" s="1" t="s">
        <v>20</v>
      </c>
      <c r="J95" s="1" t="s">
        <v>66</v>
      </c>
      <c r="K95" s="1" t="s">
        <v>34</v>
      </c>
      <c r="L95" s="1" t="s">
        <v>1244</v>
      </c>
      <c r="M95" s="1" t="s">
        <v>36</v>
      </c>
      <c r="N95" s="18">
        <v>2</v>
      </c>
      <c r="O95" s="1" t="s">
        <v>36</v>
      </c>
      <c r="P95" s="1" t="s">
        <v>38</v>
      </c>
    </row>
    <row r="96" spans="1:16" x14ac:dyDescent="0.3">
      <c r="A96" s="1" t="s">
        <v>408</v>
      </c>
      <c r="B96" s="1" t="s">
        <v>409</v>
      </c>
      <c r="C96" s="1"/>
      <c r="D96" s="16">
        <v>499</v>
      </c>
      <c r="E96" s="16">
        <v>297</v>
      </c>
      <c r="F96" s="5">
        <v>0.4</v>
      </c>
      <c r="G96" s="1" t="s">
        <v>32</v>
      </c>
      <c r="H96" s="1">
        <v>1</v>
      </c>
      <c r="I96" s="1" t="s">
        <v>20</v>
      </c>
      <c r="J96" s="1" t="s">
        <v>98</v>
      </c>
      <c r="K96" s="1" t="s">
        <v>34</v>
      </c>
      <c r="L96" s="1" t="s">
        <v>1244</v>
      </c>
      <c r="M96" s="1" t="s">
        <v>36</v>
      </c>
      <c r="N96" s="18">
        <v>2</v>
      </c>
      <c r="O96" s="1" t="s">
        <v>36</v>
      </c>
      <c r="P96" s="1" t="s">
        <v>412</v>
      </c>
    </row>
    <row r="97" spans="1:16" x14ac:dyDescent="0.3">
      <c r="A97" s="1" t="s">
        <v>413</v>
      </c>
      <c r="B97" s="1" t="s">
        <v>414</v>
      </c>
      <c r="C97" s="1"/>
      <c r="D97" s="16">
        <v>419</v>
      </c>
      <c r="E97" s="16">
        <v>133</v>
      </c>
      <c r="F97" s="5">
        <v>0.68</v>
      </c>
      <c r="G97" s="1" t="s">
        <v>19</v>
      </c>
      <c r="H97" s="1">
        <v>2</v>
      </c>
      <c r="I97" s="1" t="s">
        <v>20</v>
      </c>
      <c r="J97" s="1" t="s">
        <v>66</v>
      </c>
      <c r="K97" s="1" t="s">
        <v>22</v>
      </c>
      <c r="L97" s="1" t="s">
        <v>1244</v>
      </c>
      <c r="M97" s="1" t="s">
        <v>36</v>
      </c>
      <c r="N97" s="18">
        <v>1</v>
      </c>
      <c r="O97" s="1" t="s">
        <v>36</v>
      </c>
      <c r="P97" s="1" t="s">
        <v>79</v>
      </c>
    </row>
    <row r="98" spans="1:16" x14ac:dyDescent="0.3">
      <c r="A98" s="1" t="s">
        <v>417</v>
      </c>
      <c r="B98" s="1" t="s">
        <v>418</v>
      </c>
      <c r="C98" s="1"/>
      <c r="D98" s="16">
        <v>399</v>
      </c>
      <c r="E98" s="16">
        <v>174</v>
      </c>
      <c r="F98" s="5">
        <v>0.56000000000000005</v>
      </c>
      <c r="G98" s="1" t="s">
        <v>32</v>
      </c>
      <c r="H98" s="1">
        <v>1</v>
      </c>
      <c r="I98" s="1" t="s">
        <v>20</v>
      </c>
      <c r="J98" s="1" t="s">
        <v>105</v>
      </c>
      <c r="K98" s="1" t="s">
        <v>22</v>
      </c>
      <c r="L98" s="1" t="s">
        <v>23</v>
      </c>
      <c r="M98" s="1" t="s">
        <v>36</v>
      </c>
      <c r="N98" s="18">
        <v>4</v>
      </c>
      <c r="O98" s="1" t="s">
        <v>36</v>
      </c>
      <c r="P98" s="1" t="s">
        <v>257</v>
      </c>
    </row>
    <row r="99" spans="1:16" x14ac:dyDescent="0.3">
      <c r="A99" s="1" t="s">
        <v>420</v>
      </c>
      <c r="B99" s="1" t="s">
        <v>421</v>
      </c>
      <c r="C99" s="1"/>
      <c r="D99" s="16">
        <v>598</v>
      </c>
      <c r="E99" s="16">
        <v>139</v>
      </c>
      <c r="F99" s="5">
        <v>0.76</v>
      </c>
      <c r="G99" s="1" t="s">
        <v>32</v>
      </c>
      <c r="H99" s="1">
        <v>1</v>
      </c>
      <c r="I99" s="1" t="s">
        <v>20</v>
      </c>
      <c r="J99" s="1" t="s">
        <v>33</v>
      </c>
      <c r="K99" s="1" t="s">
        <v>34</v>
      </c>
      <c r="L99" s="1" t="s">
        <v>1244</v>
      </c>
      <c r="M99" s="1" t="s">
        <v>36</v>
      </c>
      <c r="N99" s="18">
        <v>2</v>
      </c>
      <c r="O99" s="1" t="s">
        <v>36</v>
      </c>
      <c r="P99" s="1" t="s">
        <v>38</v>
      </c>
    </row>
    <row r="100" spans="1:16" x14ac:dyDescent="0.3">
      <c r="A100" s="1" t="s">
        <v>423</v>
      </c>
      <c r="B100" s="1" t="s">
        <v>424</v>
      </c>
      <c r="C100" s="1"/>
      <c r="D100" s="16">
        <v>299</v>
      </c>
      <c r="E100" s="16">
        <v>175</v>
      </c>
      <c r="F100" s="5">
        <v>0.41</v>
      </c>
      <c r="G100" s="1" t="s">
        <v>19</v>
      </c>
      <c r="H100" s="1">
        <v>2</v>
      </c>
      <c r="I100" s="1" t="s">
        <v>20</v>
      </c>
      <c r="J100" s="1" t="s">
        <v>33</v>
      </c>
      <c r="K100" s="1" t="s">
        <v>34</v>
      </c>
      <c r="L100" s="1" t="s">
        <v>1244</v>
      </c>
      <c r="M100" s="1" t="s">
        <v>36</v>
      </c>
      <c r="N100" s="18">
        <v>2</v>
      </c>
      <c r="O100" s="1" t="s">
        <v>36</v>
      </c>
      <c r="P100" s="1" t="s">
        <v>427</v>
      </c>
    </row>
    <row r="101" spans="1:16" x14ac:dyDescent="0.3">
      <c r="A101" s="1" t="s">
        <v>428</v>
      </c>
      <c r="B101" s="1" t="s">
        <v>429</v>
      </c>
      <c r="C101" s="1"/>
      <c r="D101" s="16">
        <v>499</v>
      </c>
      <c r="E101" s="16">
        <v>125</v>
      </c>
      <c r="F101" s="5">
        <v>0.74</v>
      </c>
      <c r="G101" s="1" t="s">
        <v>32</v>
      </c>
      <c r="H101" s="1">
        <v>1</v>
      </c>
      <c r="I101" s="1" t="s">
        <v>20</v>
      </c>
      <c r="J101" s="1" t="s">
        <v>91</v>
      </c>
      <c r="K101" s="1" t="s">
        <v>22</v>
      </c>
      <c r="L101" s="1" t="s">
        <v>1244</v>
      </c>
      <c r="M101" s="1" t="s">
        <v>36</v>
      </c>
      <c r="N101" s="18">
        <v>2</v>
      </c>
      <c r="O101" s="1" t="s">
        <v>36</v>
      </c>
      <c r="P101" s="1" t="s">
        <v>430</v>
      </c>
    </row>
    <row r="102" spans="1:16" x14ac:dyDescent="0.3">
      <c r="A102" s="1" t="s">
        <v>431</v>
      </c>
      <c r="B102" s="1" t="s">
        <v>432</v>
      </c>
      <c r="C102" s="1"/>
      <c r="D102" s="16">
        <v>398</v>
      </c>
      <c r="E102" s="16">
        <v>124</v>
      </c>
      <c r="F102" s="5">
        <v>0.68</v>
      </c>
      <c r="G102" s="1" t="s">
        <v>19</v>
      </c>
      <c r="H102" s="1">
        <v>2</v>
      </c>
      <c r="I102" s="1" t="s">
        <v>20</v>
      </c>
      <c r="J102" s="1" t="s">
        <v>33</v>
      </c>
      <c r="K102" s="1" t="s">
        <v>211</v>
      </c>
      <c r="L102" s="1" t="s">
        <v>1244</v>
      </c>
      <c r="M102" s="1" t="s">
        <v>36</v>
      </c>
      <c r="N102" s="18">
        <v>2</v>
      </c>
      <c r="O102" s="1" t="s">
        <v>36</v>
      </c>
      <c r="P102" s="1" t="s">
        <v>300</v>
      </c>
    </row>
    <row r="103" spans="1:16" x14ac:dyDescent="0.3">
      <c r="A103" s="1" t="s">
        <v>433</v>
      </c>
      <c r="B103" s="1" t="s">
        <v>434</v>
      </c>
      <c r="C103" s="1"/>
      <c r="D103" s="16">
        <v>313</v>
      </c>
      <c r="E103" s="16">
        <v>120</v>
      </c>
      <c r="F103" s="5">
        <v>0.61</v>
      </c>
      <c r="G103" s="1" t="s">
        <v>19</v>
      </c>
      <c r="H103" s="1">
        <v>2</v>
      </c>
      <c r="I103" s="1" t="s">
        <v>20</v>
      </c>
      <c r="J103" s="1" t="s">
        <v>43</v>
      </c>
      <c r="K103" s="1" t="s">
        <v>22</v>
      </c>
      <c r="L103" s="1" t="s">
        <v>1244</v>
      </c>
      <c r="M103" s="1" t="s">
        <v>36</v>
      </c>
      <c r="N103" s="18">
        <v>2</v>
      </c>
      <c r="O103" s="1" t="s">
        <v>36</v>
      </c>
      <c r="P103" s="1" t="s">
        <v>38</v>
      </c>
    </row>
    <row r="104" spans="1:16" x14ac:dyDescent="0.3">
      <c r="A104" s="1" t="s">
        <v>436</v>
      </c>
      <c r="B104" s="1" t="s">
        <v>437</v>
      </c>
      <c r="C104" s="1"/>
      <c r="D104" s="16">
        <v>399</v>
      </c>
      <c r="E104" s="16">
        <v>185</v>
      </c>
      <c r="F104" s="5">
        <v>0.53</v>
      </c>
      <c r="G104" s="1" t="s">
        <v>32</v>
      </c>
      <c r="H104" s="1">
        <v>1</v>
      </c>
      <c r="I104" s="1" t="s">
        <v>20</v>
      </c>
      <c r="J104" s="1" t="s">
        <v>66</v>
      </c>
      <c r="K104" s="1" t="s">
        <v>211</v>
      </c>
      <c r="L104" s="1" t="s">
        <v>1244</v>
      </c>
      <c r="M104" s="1" t="s">
        <v>24</v>
      </c>
      <c r="N104" s="18">
        <v>1</v>
      </c>
      <c r="O104" s="1" t="s">
        <v>36</v>
      </c>
      <c r="P104" s="1" t="s">
        <v>87</v>
      </c>
    </row>
    <row r="105" spans="1:16" x14ac:dyDescent="0.3">
      <c r="A105" s="1" t="s">
        <v>438</v>
      </c>
      <c r="B105" s="1" t="s">
        <v>439</v>
      </c>
      <c r="C105" s="1"/>
      <c r="D105" s="16">
        <v>599</v>
      </c>
      <c r="E105" s="16">
        <v>126</v>
      </c>
      <c r="F105" s="5">
        <v>0.78</v>
      </c>
      <c r="G105" s="1" t="s">
        <v>32</v>
      </c>
      <c r="H105" s="1">
        <v>1</v>
      </c>
      <c r="I105" s="1" t="s">
        <v>20</v>
      </c>
      <c r="J105" s="1" t="s">
        <v>33</v>
      </c>
      <c r="K105" s="1" t="s">
        <v>34</v>
      </c>
      <c r="L105" s="1" t="s">
        <v>23</v>
      </c>
      <c r="M105" s="1" t="s">
        <v>36</v>
      </c>
      <c r="N105" s="18">
        <v>2</v>
      </c>
      <c r="O105" s="1" t="s">
        <v>36</v>
      </c>
      <c r="P105" s="1" t="s">
        <v>440</v>
      </c>
    </row>
    <row r="106" spans="1:16" x14ac:dyDescent="0.3">
      <c r="A106" s="1" t="s">
        <v>441</v>
      </c>
      <c r="B106" s="1" t="s">
        <v>442</v>
      </c>
      <c r="C106" s="1"/>
      <c r="D106" s="16">
        <v>1000</v>
      </c>
      <c r="E106" s="16">
        <v>167</v>
      </c>
      <c r="F106" s="5">
        <v>0.83</v>
      </c>
      <c r="G106" s="1" t="s">
        <v>32</v>
      </c>
      <c r="H106" s="1">
        <v>1</v>
      </c>
      <c r="I106" s="1" t="s">
        <v>20</v>
      </c>
      <c r="J106" s="1" t="s">
        <v>21</v>
      </c>
      <c r="K106" s="1" t="s">
        <v>22</v>
      </c>
      <c r="L106" s="1" t="s">
        <v>23</v>
      </c>
      <c r="M106" s="1" t="s">
        <v>24</v>
      </c>
      <c r="N106" s="18">
        <v>2</v>
      </c>
      <c r="O106" s="1" t="s">
        <v>36</v>
      </c>
      <c r="P106" s="1" t="s">
        <v>446</v>
      </c>
    </row>
    <row r="107" spans="1:16" x14ac:dyDescent="0.3">
      <c r="A107" s="1" t="s">
        <v>447</v>
      </c>
      <c r="B107" s="1" t="s">
        <v>448</v>
      </c>
      <c r="C107" s="1"/>
      <c r="D107" s="16">
        <v>499</v>
      </c>
      <c r="E107" s="16">
        <v>135</v>
      </c>
      <c r="F107" s="5">
        <v>0.68</v>
      </c>
      <c r="G107" s="1" t="s">
        <v>32</v>
      </c>
      <c r="H107" s="1" t="s">
        <v>25</v>
      </c>
      <c r="I107" s="1" t="s">
        <v>20</v>
      </c>
      <c r="J107" s="1" t="s">
        <v>66</v>
      </c>
      <c r="K107" s="1" t="s">
        <v>34</v>
      </c>
      <c r="L107" s="1" t="s">
        <v>1244</v>
      </c>
      <c r="M107" s="1" t="s">
        <v>36</v>
      </c>
      <c r="N107" s="18">
        <v>0.6</v>
      </c>
      <c r="O107" s="1" t="s">
        <v>36</v>
      </c>
      <c r="P107" s="1" t="s">
        <v>167</v>
      </c>
    </row>
    <row r="108" spans="1:16" x14ac:dyDescent="0.3">
      <c r="A108" s="1" t="s">
        <v>451</v>
      </c>
      <c r="B108" s="1" t="s">
        <v>452</v>
      </c>
      <c r="C108" s="1"/>
      <c r="D108" s="16">
        <v>999</v>
      </c>
      <c r="E108" s="16">
        <v>299</v>
      </c>
      <c r="F108" s="5">
        <v>0.7</v>
      </c>
      <c r="G108" s="1" t="s">
        <v>32</v>
      </c>
      <c r="H108" s="1">
        <v>1</v>
      </c>
      <c r="I108" s="1" t="s">
        <v>20</v>
      </c>
      <c r="J108" s="1" t="s">
        <v>43</v>
      </c>
      <c r="K108" s="1" t="s">
        <v>22</v>
      </c>
      <c r="L108" s="1" t="s">
        <v>1244</v>
      </c>
      <c r="M108" s="1" t="s">
        <v>36</v>
      </c>
      <c r="N108" s="18">
        <v>1</v>
      </c>
      <c r="O108" s="1" t="s">
        <v>36</v>
      </c>
      <c r="P108" s="1" t="s">
        <v>73</v>
      </c>
    </row>
    <row r="109" spans="1:16" x14ac:dyDescent="0.3">
      <c r="A109" s="1" t="s">
        <v>453</v>
      </c>
      <c r="B109" s="1" t="s">
        <v>454</v>
      </c>
      <c r="C109" s="1"/>
      <c r="D109" s="16">
        <v>299</v>
      </c>
      <c r="E109" s="16">
        <v>125</v>
      </c>
      <c r="F109" s="5">
        <v>0.57999999999999996</v>
      </c>
      <c r="G109" s="1" t="s">
        <v>19</v>
      </c>
      <c r="H109" s="1">
        <v>2</v>
      </c>
      <c r="I109" s="1" t="s">
        <v>20</v>
      </c>
      <c r="J109" s="1" t="s">
        <v>21</v>
      </c>
      <c r="K109" s="1" t="s">
        <v>22</v>
      </c>
      <c r="L109" s="1" t="s">
        <v>1244</v>
      </c>
      <c r="M109" s="1" t="s">
        <v>24</v>
      </c>
      <c r="N109" s="18">
        <v>1</v>
      </c>
      <c r="O109" s="1" t="s">
        <v>36</v>
      </c>
      <c r="P109" s="1" t="s">
        <v>244</v>
      </c>
    </row>
    <row r="110" spans="1:16" x14ac:dyDescent="0.3">
      <c r="A110" s="1" t="s">
        <v>456</v>
      </c>
      <c r="B110" s="1" t="s">
        <v>457</v>
      </c>
      <c r="C110" s="1"/>
      <c r="D110" s="16">
        <v>499</v>
      </c>
      <c r="E110" s="16">
        <v>145</v>
      </c>
      <c r="F110" s="5">
        <v>0.7</v>
      </c>
      <c r="G110" s="1" t="s">
        <v>32</v>
      </c>
      <c r="H110" s="1">
        <v>1</v>
      </c>
      <c r="I110" s="1" t="s">
        <v>20</v>
      </c>
      <c r="J110" s="1" t="s">
        <v>43</v>
      </c>
      <c r="K110" s="1" t="s">
        <v>22</v>
      </c>
      <c r="L110" s="1" t="s">
        <v>23</v>
      </c>
      <c r="M110" s="1" t="s">
        <v>24</v>
      </c>
      <c r="N110" s="18">
        <v>2</v>
      </c>
      <c r="O110" s="1" t="s">
        <v>24</v>
      </c>
      <c r="P110" s="1" t="s">
        <v>459</v>
      </c>
    </row>
    <row r="111" spans="1:16" x14ac:dyDescent="0.3">
      <c r="A111" s="1" t="s">
        <v>460</v>
      </c>
      <c r="B111" s="1" t="s">
        <v>285</v>
      </c>
      <c r="C111" s="1"/>
      <c r="D111" s="16">
        <v>492</v>
      </c>
      <c r="E111" s="16">
        <v>152</v>
      </c>
      <c r="F111" s="5">
        <v>0.69</v>
      </c>
      <c r="G111" s="1" t="s">
        <v>19</v>
      </c>
      <c r="H111" s="1">
        <v>2</v>
      </c>
      <c r="I111" s="1" t="s">
        <v>20</v>
      </c>
      <c r="J111" s="1" t="s">
        <v>66</v>
      </c>
      <c r="K111" s="1" t="s">
        <v>34</v>
      </c>
      <c r="L111" s="1" t="s">
        <v>1244</v>
      </c>
      <c r="M111" s="1" t="s">
        <v>36</v>
      </c>
      <c r="N111" s="18">
        <v>2</v>
      </c>
      <c r="O111" s="1" t="s">
        <v>36</v>
      </c>
      <c r="P111" s="1" t="s">
        <v>238</v>
      </c>
    </row>
    <row r="112" spans="1:16" x14ac:dyDescent="0.3">
      <c r="A112" s="1" t="s">
        <v>463</v>
      </c>
      <c r="B112" s="1" t="s">
        <v>464</v>
      </c>
      <c r="C112" s="1"/>
      <c r="D112" s="16">
        <v>399</v>
      </c>
      <c r="E112" s="16">
        <v>130</v>
      </c>
      <c r="F112" s="5">
        <v>0.67</v>
      </c>
      <c r="G112" s="1" t="s">
        <v>32</v>
      </c>
      <c r="H112" s="1">
        <v>1</v>
      </c>
      <c r="I112" s="1" t="s">
        <v>20</v>
      </c>
      <c r="J112" s="1" t="s">
        <v>33</v>
      </c>
      <c r="K112" s="1" t="s">
        <v>22</v>
      </c>
      <c r="L112" s="1" t="s">
        <v>1244</v>
      </c>
      <c r="M112" s="1" t="s">
        <v>24</v>
      </c>
      <c r="N112" s="18">
        <v>1</v>
      </c>
      <c r="O112" s="1" t="s">
        <v>36</v>
      </c>
      <c r="P112" s="1" t="s">
        <v>465</v>
      </c>
    </row>
    <row r="113" spans="1:16" x14ac:dyDescent="0.3">
      <c r="A113" s="1" t="s">
        <v>466</v>
      </c>
      <c r="B113" s="1" t="s">
        <v>467</v>
      </c>
      <c r="C113" s="1"/>
      <c r="D113" s="16">
        <v>599</v>
      </c>
      <c r="E113" s="16">
        <v>130</v>
      </c>
      <c r="F113" s="5">
        <v>0.78</v>
      </c>
      <c r="G113" s="1" t="s">
        <v>32</v>
      </c>
      <c r="H113" s="1">
        <v>1</v>
      </c>
      <c r="I113" s="1" t="s">
        <v>20</v>
      </c>
      <c r="J113" s="1" t="s">
        <v>43</v>
      </c>
      <c r="K113" s="1" t="s">
        <v>22</v>
      </c>
      <c r="L113" s="1" t="s">
        <v>1244</v>
      </c>
      <c r="M113" s="1" t="s">
        <v>36</v>
      </c>
      <c r="N113" s="18">
        <v>2</v>
      </c>
      <c r="O113" s="1" t="s">
        <v>36</v>
      </c>
      <c r="P113" s="1" t="s">
        <v>340</v>
      </c>
    </row>
    <row r="114" spans="1:16" x14ac:dyDescent="0.3">
      <c r="A114" s="1" t="s">
        <v>469</v>
      </c>
      <c r="B114" s="1" t="s">
        <v>470</v>
      </c>
      <c r="C114" s="1"/>
      <c r="D114" s="16">
        <v>499</v>
      </c>
      <c r="E114" s="16">
        <v>135</v>
      </c>
      <c r="F114" s="5">
        <v>0.68</v>
      </c>
      <c r="G114" s="1" t="s">
        <v>32</v>
      </c>
      <c r="H114" s="1" t="s">
        <v>25</v>
      </c>
      <c r="I114" s="1" t="s">
        <v>20</v>
      </c>
      <c r="J114" s="1" t="s">
        <v>33</v>
      </c>
      <c r="K114" s="1" t="s">
        <v>22</v>
      </c>
      <c r="L114" s="1" t="s">
        <v>1244</v>
      </c>
      <c r="M114" s="1" t="s">
        <v>36</v>
      </c>
      <c r="N114" s="18">
        <v>0.6</v>
      </c>
      <c r="O114" s="1" t="s">
        <v>36</v>
      </c>
      <c r="P114" s="1" t="s">
        <v>38</v>
      </c>
    </row>
    <row r="115" spans="1:16" x14ac:dyDescent="0.3">
      <c r="A115" s="1" t="s">
        <v>471</v>
      </c>
      <c r="B115" s="1" t="s">
        <v>472</v>
      </c>
      <c r="C115" s="1"/>
      <c r="D115" s="16">
        <v>899</v>
      </c>
      <c r="E115" s="16">
        <v>146</v>
      </c>
      <c r="F115" s="5">
        <v>0.83</v>
      </c>
      <c r="G115" s="1" t="s">
        <v>32</v>
      </c>
      <c r="H115" s="1">
        <v>1</v>
      </c>
      <c r="I115" s="1" t="s">
        <v>20</v>
      </c>
      <c r="J115" s="1" t="s">
        <v>43</v>
      </c>
      <c r="K115" s="1" t="s">
        <v>211</v>
      </c>
      <c r="L115" s="1" t="s">
        <v>23</v>
      </c>
      <c r="M115" s="1" t="s">
        <v>36</v>
      </c>
      <c r="N115" s="18">
        <v>2</v>
      </c>
      <c r="O115" s="1" t="s">
        <v>36</v>
      </c>
      <c r="P115" s="1" t="s">
        <v>474</v>
      </c>
    </row>
    <row r="116" spans="1:16" x14ac:dyDescent="0.3">
      <c r="A116" s="1" t="s">
        <v>475</v>
      </c>
      <c r="B116" s="1" t="s">
        <v>476</v>
      </c>
      <c r="C116" s="1"/>
      <c r="D116" s="16">
        <v>499</v>
      </c>
      <c r="E116" s="16">
        <v>199</v>
      </c>
      <c r="F116" s="5">
        <v>0.6</v>
      </c>
      <c r="G116" s="1" t="s">
        <v>19</v>
      </c>
      <c r="H116" s="1">
        <v>2</v>
      </c>
      <c r="I116" s="1" t="s">
        <v>20</v>
      </c>
      <c r="J116" s="1" t="s">
        <v>98</v>
      </c>
      <c r="K116" s="1" t="s">
        <v>22</v>
      </c>
      <c r="L116" s="1" t="s">
        <v>1244</v>
      </c>
      <c r="M116" s="1" t="s">
        <v>36</v>
      </c>
      <c r="N116" s="18">
        <v>10</v>
      </c>
      <c r="O116" s="1" t="s">
        <v>36</v>
      </c>
      <c r="P116" s="1" t="s">
        <v>180</v>
      </c>
    </row>
    <row r="117" spans="1:16" x14ac:dyDescent="0.3">
      <c r="A117" s="1" t="s">
        <v>478</v>
      </c>
      <c r="B117" s="1" t="s">
        <v>479</v>
      </c>
      <c r="C117" s="1"/>
      <c r="D117" s="16">
        <v>499</v>
      </c>
      <c r="E117" s="16">
        <v>169</v>
      </c>
      <c r="F117" s="5">
        <v>0.66</v>
      </c>
      <c r="G117" s="1" t="s">
        <v>32</v>
      </c>
      <c r="H117" s="1">
        <v>1</v>
      </c>
      <c r="I117" s="1" t="s">
        <v>20</v>
      </c>
      <c r="J117" s="1" t="s">
        <v>135</v>
      </c>
      <c r="K117" s="1" t="s">
        <v>34</v>
      </c>
      <c r="L117" s="1" t="s">
        <v>23</v>
      </c>
      <c r="M117" s="1" t="s">
        <v>24</v>
      </c>
      <c r="N117" s="18">
        <v>2</v>
      </c>
      <c r="O117" s="1" t="s">
        <v>36</v>
      </c>
      <c r="P117" s="1" t="s">
        <v>481</v>
      </c>
    </row>
    <row r="118" spans="1:16" x14ac:dyDescent="0.3">
      <c r="A118" s="1" t="s">
        <v>482</v>
      </c>
      <c r="B118" s="1" t="s">
        <v>483</v>
      </c>
      <c r="C118" s="1"/>
      <c r="D118" s="16">
        <v>498</v>
      </c>
      <c r="E118" s="16">
        <v>128</v>
      </c>
      <c r="F118" s="5">
        <v>0.74</v>
      </c>
      <c r="G118" s="1" t="s">
        <v>32</v>
      </c>
      <c r="H118" s="1">
        <v>1</v>
      </c>
      <c r="I118" s="1" t="s">
        <v>20</v>
      </c>
      <c r="J118" s="1" t="s">
        <v>21</v>
      </c>
      <c r="K118" s="1" t="s">
        <v>34</v>
      </c>
      <c r="L118" s="1" t="s">
        <v>23</v>
      </c>
      <c r="M118" s="1" t="s">
        <v>24</v>
      </c>
      <c r="N118" s="18">
        <v>2</v>
      </c>
      <c r="O118" s="1" t="s">
        <v>36</v>
      </c>
      <c r="P118" s="1" t="s">
        <v>485</v>
      </c>
    </row>
    <row r="119" spans="1:16" x14ac:dyDescent="0.3">
      <c r="A119" s="1" t="s">
        <v>486</v>
      </c>
      <c r="B119" s="1" t="s">
        <v>487</v>
      </c>
      <c r="C119" s="1"/>
      <c r="D119" s="16">
        <v>599</v>
      </c>
      <c r="E119" s="16">
        <v>169</v>
      </c>
      <c r="F119" s="5">
        <v>0.71</v>
      </c>
      <c r="G119" s="1" t="s">
        <v>32</v>
      </c>
      <c r="H119" s="1">
        <v>1</v>
      </c>
      <c r="I119" s="1" t="s">
        <v>20</v>
      </c>
      <c r="J119" s="1" t="s">
        <v>33</v>
      </c>
      <c r="K119" s="1" t="s">
        <v>34</v>
      </c>
      <c r="L119" s="1" t="s">
        <v>1244</v>
      </c>
      <c r="M119" s="1" t="s">
        <v>36</v>
      </c>
      <c r="N119" s="18">
        <v>2</v>
      </c>
      <c r="O119" s="1" t="s">
        <v>36</v>
      </c>
      <c r="P119" s="1" t="s">
        <v>38</v>
      </c>
    </row>
    <row r="120" spans="1:16" x14ac:dyDescent="0.3">
      <c r="A120" s="1" t="s">
        <v>488</v>
      </c>
      <c r="B120" s="1" t="s">
        <v>489</v>
      </c>
      <c r="C120" s="1"/>
      <c r="D120" s="16">
        <v>499</v>
      </c>
      <c r="E120" s="16">
        <v>120</v>
      </c>
      <c r="F120" s="5">
        <v>0.75</v>
      </c>
      <c r="G120" s="1" t="s">
        <v>32</v>
      </c>
      <c r="H120" s="1">
        <v>1</v>
      </c>
      <c r="I120" s="1" t="s">
        <v>20</v>
      </c>
      <c r="J120" s="1" t="s">
        <v>43</v>
      </c>
      <c r="K120" s="1" t="s">
        <v>34</v>
      </c>
      <c r="L120" s="1" t="s">
        <v>1244</v>
      </c>
      <c r="M120" s="1" t="s">
        <v>36</v>
      </c>
      <c r="N120" s="18">
        <v>2</v>
      </c>
      <c r="O120" s="1" t="s">
        <v>36</v>
      </c>
      <c r="P120" s="1" t="s">
        <v>38</v>
      </c>
    </row>
    <row r="121" spans="1:16" x14ac:dyDescent="0.3">
      <c r="A121" s="1" t="s">
        <v>490</v>
      </c>
      <c r="B121" s="1" t="s">
        <v>491</v>
      </c>
      <c r="C121" s="1"/>
      <c r="D121" s="16">
        <v>500</v>
      </c>
      <c r="E121" s="16">
        <v>199</v>
      </c>
      <c r="F121" s="5">
        <v>0.6</v>
      </c>
      <c r="G121" s="1" t="s">
        <v>32</v>
      </c>
      <c r="H121" s="1">
        <v>1</v>
      </c>
      <c r="I121" s="1" t="s">
        <v>20</v>
      </c>
      <c r="J121" s="1" t="s">
        <v>98</v>
      </c>
      <c r="K121" s="1" t="s">
        <v>34</v>
      </c>
      <c r="L121" s="1" t="s">
        <v>1244</v>
      </c>
      <c r="M121" s="1" t="s">
        <v>36</v>
      </c>
      <c r="N121" s="18">
        <v>2</v>
      </c>
      <c r="O121" s="1" t="s">
        <v>36</v>
      </c>
      <c r="P121" s="1" t="s">
        <v>493</v>
      </c>
    </row>
    <row r="122" spans="1:16" x14ac:dyDescent="0.3">
      <c r="A122" s="1" t="s">
        <v>494</v>
      </c>
      <c r="B122" s="1" t="s">
        <v>495</v>
      </c>
      <c r="C122" s="1"/>
      <c r="D122" s="16">
        <v>489</v>
      </c>
      <c r="E122" s="16">
        <v>123</v>
      </c>
      <c r="F122" s="5">
        <v>0.74</v>
      </c>
      <c r="G122" s="1" t="s">
        <v>19</v>
      </c>
      <c r="H122" s="1">
        <v>2</v>
      </c>
      <c r="I122" s="1" t="s">
        <v>20</v>
      </c>
      <c r="J122" s="1" t="s">
        <v>66</v>
      </c>
      <c r="K122" s="1" t="s">
        <v>34</v>
      </c>
      <c r="L122" s="1" t="s">
        <v>1244</v>
      </c>
      <c r="M122" s="1" t="s">
        <v>36</v>
      </c>
      <c r="N122" s="18">
        <v>2</v>
      </c>
      <c r="O122" s="1" t="s">
        <v>36</v>
      </c>
      <c r="P122" s="1" t="s">
        <v>238</v>
      </c>
    </row>
    <row r="123" spans="1:16" x14ac:dyDescent="0.3">
      <c r="A123" s="1" t="s">
        <v>496</v>
      </c>
      <c r="B123" s="1" t="s">
        <v>497</v>
      </c>
      <c r="C123" s="1"/>
      <c r="D123" s="16">
        <v>399</v>
      </c>
      <c r="E123" s="16">
        <v>127</v>
      </c>
      <c r="F123" s="5">
        <v>0.68</v>
      </c>
      <c r="G123" s="1" t="s">
        <v>32</v>
      </c>
      <c r="H123" s="1">
        <v>1</v>
      </c>
      <c r="I123" s="1" t="s">
        <v>20</v>
      </c>
      <c r="J123" s="1" t="s">
        <v>43</v>
      </c>
      <c r="K123" s="1" t="s">
        <v>34</v>
      </c>
      <c r="L123" s="1" t="s">
        <v>1244</v>
      </c>
      <c r="M123" s="1" t="s">
        <v>24</v>
      </c>
      <c r="N123" s="18">
        <v>2</v>
      </c>
      <c r="O123" s="1" t="s">
        <v>36</v>
      </c>
      <c r="P123" s="1" t="s">
        <v>498</v>
      </c>
    </row>
    <row r="124" spans="1:16" x14ac:dyDescent="0.3">
      <c r="A124" s="1" t="s">
        <v>499</v>
      </c>
      <c r="B124" s="1" t="s">
        <v>500</v>
      </c>
      <c r="C124" s="1"/>
      <c r="D124" s="16">
        <v>1200</v>
      </c>
      <c r="E124" s="16">
        <v>140</v>
      </c>
      <c r="F124" s="5">
        <v>0.88</v>
      </c>
      <c r="G124" s="1" t="s">
        <v>32</v>
      </c>
      <c r="H124" s="1">
        <v>1</v>
      </c>
      <c r="I124" s="1" t="s">
        <v>20</v>
      </c>
      <c r="J124" s="1" t="s">
        <v>43</v>
      </c>
      <c r="K124" s="1" t="s">
        <v>22</v>
      </c>
      <c r="L124" s="1" t="s">
        <v>1244</v>
      </c>
      <c r="M124" s="1" t="s">
        <v>36</v>
      </c>
      <c r="N124" s="18">
        <v>2</v>
      </c>
      <c r="O124" s="1" t="s">
        <v>36</v>
      </c>
      <c r="P124" s="1" t="s">
        <v>503</v>
      </c>
    </row>
    <row r="125" spans="1:16" x14ac:dyDescent="0.3">
      <c r="A125" s="1" t="s">
        <v>504</v>
      </c>
      <c r="B125" s="1" t="s">
        <v>505</v>
      </c>
      <c r="C125" s="1"/>
      <c r="D125" s="16">
        <v>499</v>
      </c>
      <c r="E125" s="16">
        <v>130</v>
      </c>
      <c r="F125" s="5">
        <v>0.73</v>
      </c>
      <c r="G125" s="1" t="s">
        <v>32</v>
      </c>
      <c r="H125" s="1">
        <v>1</v>
      </c>
      <c r="I125" s="1" t="s">
        <v>20</v>
      </c>
      <c r="J125" s="1" t="s">
        <v>98</v>
      </c>
      <c r="K125" s="1" t="s">
        <v>34</v>
      </c>
      <c r="L125" s="1" t="s">
        <v>1244</v>
      </c>
      <c r="M125" s="1" t="s">
        <v>24</v>
      </c>
      <c r="N125" s="18">
        <v>2</v>
      </c>
      <c r="O125" s="1" t="s">
        <v>36</v>
      </c>
      <c r="P125" s="1" t="s">
        <v>51</v>
      </c>
    </row>
    <row r="126" spans="1:16" x14ac:dyDescent="0.3">
      <c r="A126" s="1" t="s">
        <v>507</v>
      </c>
      <c r="B126" s="1" t="s">
        <v>508</v>
      </c>
      <c r="C126" s="1"/>
      <c r="D126" s="16">
        <v>1099</v>
      </c>
      <c r="E126" s="16">
        <v>483</v>
      </c>
      <c r="F126" s="5">
        <v>0.56000000000000005</v>
      </c>
      <c r="G126" s="1" t="s">
        <v>32</v>
      </c>
      <c r="H126" s="1">
        <v>1</v>
      </c>
      <c r="I126" s="1" t="s">
        <v>20</v>
      </c>
      <c r="J126" s="1" t="s">
        <v>43</v>
      </c>
      <c r="K126" s="1" t="s">
        <v>22</v>
      </c>
      <c r="L126" s="1" t="s">
        <v>1244</v>
      </c>
      <c r="M126" s="1" t="s">
        <v>24</v>
      </c>
      <c r="N126" s="18">
        <v>2</v>
      </c>
      <c r="O126" s="1" t="s">
        <v>36</v>
      </c>
      <c r="P126" s="1" t="s">
        <v>87</v>
      </c>
    </row>
    <row r="127" spans="1:16" x14ac:dyDescent="0.3">
      <c r="A127" s="1" t="s">
        <v>511</v>
      </c>
      <c r="B127" s="1" t="s">
        <v>512</v>
      </c>
      <c r="C127" s="1"/>
      <c r="D127" s="16">
        <v>299</v>
      </c>
      <c r="E127" s="16">
        <v>180</v>
      </c>
      <c r="F127" s="5">
        <v>0.39</v>
      </c>
      <c r="G127" s="1" t="s">
        <v>19</v>
      </c>
      <c r="H127" s="1">
        <v>2</v>
      </c>
      <c r="I127" s="1" t="s">
        <v>20</v>
      </c>
      <c r="J127" s="1" t="s">
        <v>66</v>
      </c>
      <c r="K127" s="1" t="s">
        <v>22</v>
      </c>
      <c r="L127" s="1" t="s">
        <v>1244</v>
      </c>
      <c r="M127" s="1" t="s">
        <v>24</v>
      </c>
      <c r="N127" s="18">
        <v>1</v>
      </c>
      <c r="O127" s="1" t="s">
        <v>36</v>
      </c>
      <c r="P127" s="1" t="s">
        <v>244</v>
      </c>
    </row>
    <row r="128" spans="1:16" x14ac:dyDescent="0.3">
      <c r="A128" s="1" t="s">
        <v>513</v>
      </c>
      <c r="B128" s="1" t="s">
        <v>514</v>
      </c>
      <c r="C128" s="1"/>
      <c r="D128" s="16">
        <v>299</v>
      </c>
      <c r="E128" s="16">
        <v>250</v>
      </c>
      <c r="F128" s="5">
        <v>0.16</v>
      </c>
      <c r="G128" s="1" t="s">
        <v>32</v>
      </c>
      <c r="H128" s="1">
        <v>1</v>
      </c>
      <c r="I128" s="1" t="s">
        <v>20</v>
      </c>
      <c r="J128" s="1" t="s">
        <v>43</v>
      </c>
      <c r="K128" s="1" t="s">
        <v>22</v>
      </c>
      <c r="L128" s="1" t="s">
        <v>1244</v>
      </c>
      <c r="M128" s="1" t="s">
        <v>36</v>
      </c>
      <c r="N128" s="18">
        <v>1</v>
      </c>
      <c r="O128" s="1" t="s">
        <v>36</v>
      </c>
      <c r="P128" s="1" t="s">
        <v>395</v>
      </c>
    </row>
    <row r="129" spans="1:16" x14ac:dyDescent="0.3">
      <c r="A129" s="1" t="s">
        <v>516</v>
      </c>
      <c r="B129" s="1" t="s">
        <v>517</v>
      </c>
      <c r="C129" s="1"/>
      <c r="D129" s="16">
        <v>499</v>
      </c>
      <c r="E129" s="16">
        <v>136</v>
      </c>
      <c r="F129" s="5">
        <v>0.72</v>
      </c>
      <c r="G129" s="1" t="s">
        <v>19</v>
      </c>
      <c r="H129" s="1">
        <v>2</v>
      </c>
      <c r="I129" s="1" t="s">
        <v>20</v>
      </c>
      <c r="J129" s="1" t="s">
        <v>33</v>
      </c>
      <c r="K129" s="1" t="s">
        <v>22</v>
      </c>
      <c r="L129" s="1" t="s">
        <v>1244</v>
      </c>
      <c r="M129" s="1" t="s">
        <v>24</v>
      </c>
      <c r="N129" s="18">
        <v>1</v>
      </c>
      <c r="O129" s="1" t="s">
        <v>36</v>
      </c>
      <c r="P129" s="1" t="s">
        <v>73</v>
      </c>
    </row>
    <row r="130" spans="1:16" x14ac:dyDescent="0.3">
      <c r="A130" s="1" t="s">
        <v>519</v>
      </c>
      <c r="B130" s="1" t="s">
        <v>520</v>
      </c>
      <c r="C130" s="1"/>
      <c r="D130" s="16">
        <v>399</v>
      </c>
      <c r="E130" s="16">
        <v>170</v>
      </c>
      <c r="F130" s="5">
        <v>0.56999999999999995</v>
      </c>
      <c r="G130" s="1" t="s">
        <v>32</v>
      </c>
      <c r="H130" s="1">
        <v>1</v>
      </c>
      <c r="I130" s="1" t="s">
        <v>20</v>
      </c>
      <c r="J130" s="1" t="s">
        <v>98</v>
      </c>
      <c r="K130" s="1" t="s">
        <v>22</v>
      </c>
      <c r="L130" s="1" t="s">
        <v>1244</v>
      </c>
      <c r="M130" s="1" t="s">
        <v>24</v>
      </c>
      <c r="N130" s="18">
        <v>2</v>
      </c>
      <c r="O130" s="1" t="s">
        <v>24</v>
      </c>
      <c r="P130" s="1" t="s">
        <v>112</v>
      </c>
    </row>
    <row r="131" spans="1:16" x14ac:dyDescent="0.3">
      <c r="A131" s="1" t="s">
        <v>523</v>
      </c>
      <c r="B131" s="1" t="s">
        <v>524</v>
      </c>
      <c r="C131" s="1"/>
      <c r="D131" s="16">
        <v>249</v>
      </c>
      <c r="E131" s="16">
        <v>125</v>
      </c>
      <c r="F131" s="5">
        <v>0.49</v>
      </c>
      <c r="G131" s="1" t="s">
        <v>32</v>
      </c>
      <c r="H131" s="1">
        <v>1</v>
      </c>
      <c r="I131" s="1" t="s">
        <v>20</v>
      </c>
      <c r="J131" s="1" t="s">
        <v>43</v>
      </c>
      <c r="K131" s="1" t="s">
        <v>22</v>
      </c>
      <c r="L131" s="1" t="s">
        <v>1244</v>
      </c>
      <c r="M131" s="1" t="s">
        <v>36</v>
      </c>
      <c r="N131" s="18">
        <v>0.6</v>
      </c>
      <c r="O131" s="1" t="s">
        <v>36</v>
      </c>
      <c r="P131" s="1" t="s">
        <v>526</v>
      </c>
    </row>
    <row r="132" spans="1:16" x14ac:dyDescent="0.3">
      <c r="A132" s="1" t="s">
        <v>527</v>
      </c>
      <c r="B132" s="1" t="s">
        <v>528</v>
      </c>
      <c r="C132" s="1"/>
      <c r="D132" s="16">
        <v>499</v>
      </c>
      <c r="E132" s="16">
        <v>115</v>
      </c>
      <c r="F132" s="5">
        <v>0.76</v>
      </c>
      <c r="G132" s="1" t="s">
        <v>32</v>
      </c>
      <c r="H132" s="1">
        <v>1</v>
      </c>
      <c r="I132" s="1" t="s">
        <v>20</v>
      </c>
      <c r="J132" s="1" t="s">
        <v>33</v>
      </c>
      <c r="K132" s="1" t="s">
        <v>22</v>
      </c>
      <c r="L132" s="1" t="s">
        <v>1244</v>
      </c>
      <c r="M132" s="1" t="s">
        <v>24</v>
      </c>
      <c r="N132" s="18">
        <v>1</v>
      </c>
      <c r="O132" s="1" t="s">
        <v>36</v>
      </c>
      <c r="P132" s="1" t="s">
        <v>73</v>
      </c>
    </row>
    <row r="133" spans="1:16" x14ac:dyDescent="0.3">
      <c r="A133" s="1" t="s">
        <v>529</v>
      </c>
      <c r="B133" s="1" t="s">
        <v>530</v>
      </c>
      <c r="C133" s="1"/>
      <c r="D133" s="16">
        <v>399</v>
      </c>
      <c r="E133" s="16">
        <v>127</v>
      </c>
      <c r="F133" s="5">
        <v>0.68</v>
      </c>
      <c r="G133" s="1" t="s">
        <v>19</v>
      </c>
      <c r="H133" s="1">
        <v>2</v>
      </c>
      <c r="I133" s="1" t="s">
        <v>20</v>
      </c>
      <c r="J133" s="1" t="s">
        <v>33</v>
      </c>
      <c r="K133" s="1" t="s">
        <v>34</v>
      </c>
      <c r="L133" s="1" t="s">
        <v>1244</v>
      </c>
      <c r="M133" s="1" t="s">
        <v>36</v>
      </c>
      <c r="N133" s="18">
        <v>2</v>
      </c>
      <c r="O133" s="1" t="s">
        <v>36</v>
      </c>
      <c r="P133" s="1" t="s">
        <v>531</v>
      </c>
    </row>
    <row r="134" spans="1:16" x14ac:dyDescent="0.3">
      <c r="A134" s="1" t="s">
        <v>532</v>
      </c>
      <c r="B134" s="1" t="s">
        <v>533</v>
      </c>
      <c r="C134" s="1"/>
      <c r="D134" s="16">
        <v>299</v>
      </c>
      <c r="E134" s="16">
        <v>130</v>
      </c>
      <c r="F134" s="5">
        <v>0.56000000000000005</v>
      </c>
      <c r="G134" s="1" t="s">
        <v>19</v>
      </c>
      <c r="H134" s="1">
        <v>2</v>
      </c>
      <c r="I134" s="1" t="s">
        <v>20</v>
      </c>
      <c r="J134" s="1" t="s">
        <v>33</v>
      </c>
      <c r="K134" s="1" t="s">
        <v>34</v>
      </c>
      <c r="L134" s="1" t="s">
        <v>1244</v>
      </c>
      <c r="M134" s="1" t="s">
        <v>24</v>
      </c>
      <c r="N134" s="18">
        <v>1</v>
      </c>
      <c r="O134" s="1" t="s">
        <v>36</v>
      </c>
      <c r="P134" s="1" t="s">
        <v>73</v>
      </c>
    </row>
    <row r="135" spans="1:16" x14ac:dyDescent="0.3">
      <c r="A135" s="1" t="s">
        <v>535</v>
      </c>
      <c r="B135" s="1" t="s">
        <v>536</v>
      </c>
      <c r="C135" s="1"/>
      <c r="D135" s="16">
        <v>499</v>
      </c>
      <c r="E135" s="16">
        <v>129</v>
      </c>
      <c r="F135" s="5">
        <v>0.74</v>
      </c>
      <c r="G135" s="1" t="s">
        <v>19</v>
      </c>
      <c r="H135" s="1">
        <v>2</v>
      </c>
      <c r="I135" s="1" t="s">
        <v>20</v>
      </c>
      <c r="J135" s="1" t="s">
        <v>135</v>
      </c>
      <c r="K135" s="1" t="s">
        <v>22</v>
      </c>
      <c r="L135" s="1" t="s">
        <v>1244</v>
      </c>
      <c r="M135" s="1" t="s">
        <v>24</v>
      </c>
      <c r="N135" s="18">
        <v>2</v>
      </c>
      <c r="O135" s="1" t="s">
        <v>36</v>
      </c>
      <c r="P135" s="1" t="s">
        <v>538</v>
      </c>
    </row>
    <row r="136" spans="1:16" x14ac:dyDescent="0.3">
      <c r="A136" s="1" t="s">
        <v>539</v>
      </c>
      <c r="B136" s="1" t="s">
        <v>540</v>
      </c>
      <c r="C136" s="1"/>
      <c r="D136" s="16">
        <v>599</v>
      </c>
      <c r="E136" s="16">
        <v>140</v>
      </c>
      <c r="F136" s="5">
        <v>0.76</v>
      </c>
      <c r="G136" s="1" t="s">
        <v>19</v>
      </c>
      <c r="H136" s="1">
        <v>2</v>
      </c>
      <c r="I136" s="1" t="s">
        <v>20</v>
      </c>
      <c r="J136" s="1" t="s">
        <v>135</v>
      </c>
      <c r="K136" s="1" t="s">
        <v>22</v>
      </c>
      <c r="L136" s="1" t="s">
        <v>1244</v>
      </c>
      <c r="M136" s="1" t="s">
        <v>36</v>
      </c>
      <c r="N136" s="18">
        <v>2</v>
      </c>
      <c r="O136" s="1" t="s">
        <v>36</v>
      </c>
      <c r="P136" s="1" t="s">
        <v>440</v>
      </c>
    </row>
    <row r="137" spans="1:16" x14ac:dyDescent="0.3">
      <c r="A137" s="1" t="s">
        <v>541</v>
      </c>
      <c r="B137" s="1" t="s">
        <v>542</v>
      </c>
      <c r="C137" s="1"/>
      <c r="D137" s="16">
        <v>399</v>
      </c>
      <c r="E137" s="16">
        <v>165</v>
      </c>
      <c r="F137" s="5">
        <v>0.57999999999999996</v>
      </c>
      <c r="G137" s="1" t="s">
        <v>32</v>
      </c>
      <c r="H137" s="1">
        <v>1</v>
      </c>
      <c r="I137" s="1" t="s">
        <v>20</v>
      </c>
      <c r="J137" s="1" t="s">
        <v>243</v>
      </c>
      <c r="K137" s="1" t="s">
        <v>22</v>
      </c>
      <c r="L137" s="1" t="s">
        <v>23</v>
      </c>
      <c r="M137" s="1" t="s">
        <v>36</v>
      </c>
      <c r="N137" s="18">
        <v>0.5</v>
      </c>
      <c r="O137" s="1" t="s">
        <v>36</v>
      </c>
      <c r="P137" s="1" t="s">
        <v>148</v>
      </c>
    </row>
    <row r="138" spans="1:16" x14ac:dyDescent="0.3">
      <c r="A138" s="1" t="s">
        <v>543</v>
      </c>
      <c r="B138" s="1" t="s">
        <v>544</v>
      </c>
      <c r="C138" s="1"/>
      <c r="D138" s="16">
        <v>499</v>
      </c>
      <c r="E138" s="16">
        <v>196</v>
      </c>
      <c r="F138" s="5">
        <v>0.6</v>
      </c>
      <c r="G138" s="1" t="s">
        <v>32</v>
      </c>
      <c r="H138" s="1">
        <v>1</v>
      </c>
      <c r="I138" s="1" t="s">
        <v>20</v>
      </c>
      <c r="J138" s="1" t="s">
        <v>33</v>
      </c>
      <c r="K138" s="1" t="s">
        <v>22</v>
      </c>
      <c r="L138" s="1" t="s">
        <v>1244</v>
      </c>
      <c r="M138" s="1" t="s">
        <v>24</v>
      </c>
      <c r="N138" s="18">
        <v>2</v>
      </c>
      <c r="O138" s="1" t="s">
        <v>36</v>
      </c>
      <c r="P138" s="1" t="s">
        <v>79</v>
      </c>
    </row>
    <row r="139" spans="1:16" x14ac:dyDescent="0.3">
      <c r="A139" s="1" t="s">
        <v>545</v>
      </c>
      <c r="B139" s="1" t="s">
        <v>546</v>
      </c>
      <c r="C139" s="1"/>
      <c r="D139" s="16">
        <v>599</v>
      </c>
      <c r="E139" s="16">
        <v>120</v>
      </c>
      <c r="F139" s="5">
        <v>0.79</v>
      </c>
      <c r="G139" s="1" t="s">
        <v>32</v>
      </c>
      <c r="H139" s="1">
        <v>1</v>
      </c>
      <c r="I139" s="1" t="s">
        <v>20</v>
      </c>
      <c r="J139" s="1" t="s">
        <v>33</v>
      </c>
      <c r="K139" s="1" t="s">
        <v>34</v>
      </c>
      <c r="L139" s="1" t="s">
        <v>1244</v>
      </c>
      <c r="M139" s="1" t="s">
        <v>36</v>
      </c>
      <c r="N139" s="18">
        <v>2</v>
      </c>
      <c r="O139" s="1" t="s">
        <v>36</v>
      </c>
      <c r="P139" s="1" t="s">
        <v>38</v>
      </c>
    </row>
    <row r="140" spans="1:16" x14ac:dyDescent="0.3">
      <c r="A140" s="1" t="s">
        <v>547</v>
      </c>
      <c r="B140" s="1" t="s">
        <v>548</v>
      </c>
      <c r="C140" s="1"/>
      <c r="D140" s="16">
        <v>499</v>
      </c>
      <c r="E140" s="16">
        <v>138</v>
      </c>
      <c r="F140" s="5">
        <v>0.72</v>
      </c>
      <c r="G140" s="1" t="s">
        <v>32</v>
      </c>
      <c r="H140" s="1">
        <v>1</v>
      </c>
      <c r="I140" s="1" t="s">
        <v>20</v>
      </c>
      <c r="J140" s="1" t="s">
        <v>33</v>
      </c>
      <c r="K140" s="1" t="s">
        <v>34</v>
      </c>
      <c r="L140" s="1" t="s">
        <v>1244</v>
      </c>
      <c r="M140" s="1" t="s">
        <v>36</v>
      </c>
      <c r="N140" s="18">
        <v>2</v>
      </c>
      <c r="O140" s="1" t="s">
        <v>36</v>
      </c>
      <c r="P140" s="1" t="s">
        <v>550</v>
      </c>
    </row>
    <row r="141" spans="1:16" x14ac:dyDescent="0.3">
      <c r="A141" s="1" t="s">
        <v>551</v>
      </c>
      <c r="B141" s="1" t="s">
        <v>552</v>
      </c>
      <c r="C141" s="1"/>
      <c r="D141" s="16">
        <v>599</v>
      </c>
      <c r="E141" s="16">
        <v>160</v>
      </c>
      <c r="F141" s="5">
        <v>0.73</v>
      </c>
      <c r="G141" s="1" t="s">
        <v>32</v>
      </c>
      <c r="H141" s="1">
        <v>1</v>
      </c>
      <c r="I141" s="1" t="s">
        <v>20</v>
      </c>
      <c r="J141" s="1" t="s">
        <v>33</v>
      </c>
      <c r="K141" s="1" t="s">
        <v>34</v>
      </c>
      <c r="L141" s="1" t="s">
        <v>1244</v>
      </c>
      <c r="M141" s="1" t="s">
        <v>36</v>
      </c>
      <c r="N141" s="18">
        <v>2</v>
      </c>
      <c r="O141" s="1" t="s">
        <v>36</v>
      </c>
      <c r="P141" s="1" t="s">
        <v>38</v>
      </c>
    </row>
    <row r="142" spans="1:16" x14ac:dyDescent="0.3">
      <c r="A142" s="1" t="s">
        <v>554</v>
      </c>
      <c r="B142" s="1" t="s">
        <v>555</v>
      </c>
      <c r="C142" s="1"/>
      <c r="D142" s="16">
        <v>499</v>
      </c>
      <c r="E142" s="16">
        <v>125</v>
      </c>
      <c r="F142" s="5">
        <v>0.74</v>
      </c>
      <c r="G142" s="1" t="s">
        <v>32</v>
      </c>
      <c r="H142" s="1">
        <v>1</v>
      </c>
      <c r="I142" s="1" t="s">
        <v>20</v>
      </c>
      <c r="J142" s="1" t="s">
        <v>33</v>
      </c>
      <c r="K142" s="1" t="s">
        <v>34</v>
      </c>
      <c r="L142" s="1" t="s">
        <v>1244</v>
      </c>
      <c r="M142" s="1" t="s">
        <v>24</v>
      </c>
      <c r="N142" s="18">
        <v>2</v>
      </c>
      <c r="O142" s="1" t="s">
        <v>36</v>
      </c>
      <c r="P142" s="1" t="s">
        <v>38</v>
      </c>
    </row>
    <row r="143" spans="1:16" x14ac:dyDescent="0.3">
      <c r="A143" s="1" t="s">
        <v>556</v>
      </c>
      <c r="B143" s="1" t="s">
        <v>557</v>
      </c>
      <c r="C143" s="1"/>
      <c r="D143" s="16">
        <v>499</v>
      </c>
      <c r="E143" s="16">
        <v>125</v>
      </c>
      <c r="F143" s="5">
        <v>0.74</v>
      </c>
      <c r="G143" s="1" t="s">
        <v>32</v>
      </c>
      <c r="H143" s="1">
        <v>1</v>
      </c>
      <c r="I143" s="1" t="s">
        <v>20</v>
      </c>
      <c r="J143" s="1" t="s">
        <v>33</v>
      </c>
      <c r="K143" s="1" t="s">
        <v>34</v>
      </c>
      <c r="L143" s="1" t="s">
        <v>1244</v>
      </c>
      <c r="M143" s="1" t="s">
        <v>36</v>
      </c>
      <c r="N143" s="18">
        <v>1</v>
      </c>
      <c r="O143" s="1" t="s">
        <v>36</v>
      </c>
      <c r="P143" s="1" t="s">
        <v>73</v>
      </c>
    </row>
    <row r="144" spans="1:16" x14ac:dyDescent="0.3">
      <c r="A144" s="1" t="s">
        <v>558</v>
      </c>
      <c r="B144" s="1" t="s">
        <v>559</v>
      </c>
      <c r="C144" s="1"/>
      <c r="D144" s="16">
        <v>499</v>
      </c>
      <c r="E144" s="16">
        <v>122</v>
      </c>
      <c r="F144" s="5">
        <v>0.75</v>
      </c>
      <c r="G144" s="1" t="s">
        <v>32</v>
      </c>
      <c r="H144" s="1">
        <v>1</v>
      </c>
      <c r="I144" s="1" t="s">
        <v>20</v>
      </c>
      <c r="J144" s="1" t="s">
        <v>33</v>
      </c>
      <c r="K144" s="1" t="s">
        <v>34</v>
      </c>
      <c r="L144" s="1" t="s">
        <v>1244</v>
      </c>
      <c r="M144" s="1" t="s">
        <v>36</v>
      </c>
      <c r="N144" s="18">
        <v>2</v>
      </c>
      <c r="O144" s="1" t="s">
        <v>36</v>
      </c>
      <c r="P144" s="1" t="s">
        <v>38</v>
      </c>
    </row>
    <row r="145" spans="1:16" x14ac:dyDescent="0.3">
      <c r="A145" s="1" t="s">
        <v>560</v>
      </c>
      <c r="B145" s="1" t="s">
        <v>418</v>
      </c>
      <c r="C145" s="1"/>
      <c r="D145" s="16">
        <v>799</v>
      </c>
      <c r="E145" s="16">
        <v>173</v>
      </c>
      <c r="F145" s="5">
        <v>0.78</v>
      </c>
      <c r="G145" s="1" t="s">
        <v>32</v>
      </c>
      <c r="H145" s="1">
        <v>1</v>
      </c>
      <c r="I145" s="1" t="s">
        <v>20</v>
      </c>
      <c r="J145" s="1" t="s">
        <v>105</v>
      </c>
      <c r="K145" s="1" t="s">
        <v>34</v>
      </c>
      <c r="L145" s="1" t="s">
        <v>23</v>
      </c>
      <c r="M145" s="1" t="s">
        <v>36</v>
      </c>
      <c r="N145" s="18">
        <v>12</v>
      </c>
      <c r="O145" s="1" t="s">
        <v>36</v>
      </c>
      <c r="P145" s="1" t="s">
        <v>257</v>
      </c>
    </row>
    <row r="146" spans="1:16" x14ac:dyDescent="0.3">
      <c r="A146" s="1" t="s">
        <v>563</v>
      </c>
      <c r="B146" s="1" t="s">
        <v>564</v>
      </c>
      <c r="C146" s="1"/>
      <c r="D146" s="16">
        <v>489</v>
      </c>
      <c r="E146" s="16">
        <v>123</v>
      </c>
      <c r="F146" s="5">
        <v>0.74</v>
      </c>
      <c r="G146" s="1" t="s">
        <v>19</v>
      </c>
      <c r="H146" s="1">
        <v>2</v>
      </c>
      <c r="I146" s="1" t="s">
        <v>20</v>
      </c>
      <c r="J146" s="1" t="s">
        <v>33</v>
      </c>
      <c r="K146" s="1" t="s">
        <v>34</v>
      </c>
      <c r="L146" s="1" t="s">
        <v>1244</v>
      </c>
      <c r="M146" s="1" t="s">
        <v>36</v>
      </c>
      <c r="N146" s="18">
        <v>2</v>
      </c>
      <c r="O146" s="1" t="s">
        <v>36</v>
      </c>
      <c r="P146" s="1" t="s">
        <v>238</v>
      </c>
    </row>
    <row r="147" spans="1:16" x14ac:dyDescent="0.3">
      <c r="A147" s="1" t="s">
        <v>565</v>
      </c>
      <c r="B147" s="1" t="s">
        <v>201</v>
      </c>
      <c r="C147" s="1"/>
      <c r="D147" s="16">
        <v>598</v>
      </c>
      <c r="E147" s="16">
        <v>121</v>
      </c>
      <c r="F147" s="5">
        <v>0.79</v>
      </c>
      <c r="G147" s="1" t="s">
        <v>32</v>
      </c>
      <c r="H147" s="1">
        <v>1</v>
      </c>
      <c r="I147" s="1" t="s">
        <v>20</v>
      </c>
      <c r="J147" s="1" t="s">
        <v>66</v>
      </c>
      <c r="K147" s="1" t="s">
        <v>34</v>
      </c>
      <c r="L147" s="1" t="s">
        <v>1244</v>
      </c>
      <c r="M147" s="1" t="s">
        <v>36</v>
      </c>
      <c r="N147" s="18">
        <v>2</v>
      </c>
      <c r="O147" s="1" t="s">
        <v>36</v>
      </c>
      <c r="P147" s="1" t="s">
        <v>38</v>
      </c>
    </row>
    <row r="148" spans="1:16" x14ac:dyDescent="0.3">
      <c r="A148" s="1" t="s">
        <v>566</v>
      </c>
      <c r="B148" s="1" t="s">
        <v>567</v>
      </c>
      <c r="C148" s="1"/>
      <c r="D148" s="16">
        <v>849</v>
      </c>
      <c r="E148" s="16">
        <v>294</v>
      </c>
      <c r="F148" s="5">
        <v>0.65</v>
      </c>
      <c r="G148" s="1" t="s">
        <v>32</v>
      </c>
      <c r="H148" s="1">
        <v>1</v>
      </c>
      <c r="I148" s="1" t="s">
        <v>20</v>
      </c>
      <c r="J148" s="1" t="s">
        <v>105</v>
      </c>
      <c r="K148" s="1" t="s">
        <v>34</v>
      </c>
      <c r="L148" s="1" t="s">
        <v>23</v>
      </c>
      <c r="M148" s="1" t="s">
        <v>36</v>
      </c>
      <c r="N148" s="18">
        <v>2</v>
      </c>
      <c r="O148" s="1" t="s">
        <v>24</v>
      </c>
      <c r="P148" s="1" t="s">
        <v>571</v>
      </c>
    </row>
    <row r="149" spans="1:16" x14ac:dyDescent="0.3">
      <c r="A149" s="1" t="s">
        <v>572</v>
      </c>
      <c r="B149" s="1" t="s">
        <v>573</v>
      </c>
      <c r="C149" s="1"/>
      <c r="D149" s="16">
        <v>399</v>
      </c>
      <c r="E149" s="16">
        <v>160</v>
      </c>
      <c r="F149" s="5">
        <v>0.59</v>
      </c>
      <c r="G149" s="1" t="s">
        <v>32</v>
      </c>
      <c r="H149" s="1">
        <v>1</v>
      </c>
      <c r="I149" s="1" t="s">
        <v>20</v>
      </c>
      <c r="J149" s="1" t="s">
        <v>135</v>
      </c>
      <c r="K149" s="1" t="s">
        <v>22</v>
      </c>
      <c r="L149" s="1" t="s">
        <v>1244</v>
      </c>
      <c r="M149" s="1" t="s">
        <v>36</v>
      </c>
      <c r="N149" s="18">
        <v>1</v>
      </c>
      <c r="O149" s="1" t="s">
        <v>36</v>
      </c>
      <c r="P149" s="1" t="s">
        <v>195</v>
      </c>
    </row>
    <row r="150" spans="1:16" x14ac:dyDescent="0.3">
      <c r="A150" s="1" t="s">
        <v>574</v>
      </c>
      <c r="B150" s="1" t="s">
        <v>575</v>
      </c>
      <c r="C150" s="1"/>
      <c r="D150" s="16">
        <v>499</v>
      </c>
      <c r="E150" s="16">
        <v>135</v>
      </c>
      <c r="F150" s="5">
        <v>0.72</v>
      </c>
      <c r="G150" s="1" t="s">
        <v>32</v>
      </c>
      <c r="H150" s="1">
        <v>1</v>
      </c>
      <c r="I150" s="1" t="s">
        <v>20</v>
      </c>
      <c r="J150" s="1" t="s">
        <v>135</v>
      </c>
      <c r="K150" s="1" t="s">
        <v>22</v>
      </c>
      <c r="L150" s="1" t="s">
        <v>23</v>
      </c>
      <c r="M150" s="1" t="s">
        <v>36</v>
      </c>
      <c r="N150" s="18">
        <v>1</v>
      </c>
      <c r="O150" s="1" t="s">
        <v>36</v>
      </c>
      <c r="P150" s="1" t="s">
        <v>73</v>
      </c>
    </row>
    <row r="151" spans="1:16" x14ac:dyDescent="0.3">
      <c r="A151" s="1" t="s">
        <v>576</v>
      </c>
      <c r="B151" s="1" t="s">
        <v>577</v>
      </c>
      <c r="C151" s="1"/>
      <c r="D151" s="16">
        <v>299</v>
      </c>
      <c r="E151" s="16">
        <v>183</v>
      </c>
      <c r="F151" s="5">
        <v>0.38</v>
      </c>
      <c r="G151" s="1" t="s">
        <v>19</v>
      </c>
      <c r="H151" s="1">
        <v>2</v>
      </c>
      <c r="I151" s="1" t="s">
        <v>20</v>
      </c>
      <c r="J151" s="1" t="s">
        <v>33</v>
      </c>
      <c r="K151" s="1" t="s">
        <v>22</v>
      </c>
      <c r="L151" s="1" t="s">
        <v>1244</v>
      </c>
      <c r="M151" s="1" t="s">
        <v>24</v>
      </c>
      <c r="N151" s="18">
        <v>0.5</v>
      </c>
      <c r="O151" s="1" t="s">
        <v>36</v>
      </c>
      <c r="P151" s="1" t="s">
        <v>580</v>
      </c>
    </row>
    <row r="152" spans="1:16" x14ac:dyDescent="0.3">
      <c r="A152" s="1" t="s">
        <v>581</v>
      </c>
      <c r="B152" s="1" t="s">
        <v>582</v>
      </c>
      <c r="C152" s="1"/>
      <c r="D152" s="16">
        <v>349</v>
      </c>
      <c r="E152" s="16">
        <v>182</v>
      </c>
      <c r="F152" s="5">
        <v>0.47</v>
      </c>
      <c r="G152" s="1" t="s">
        <v>32</v>
      </c>
      <c r="H152" s="1">
        <v>1</v>
      </c>
      <c r="I152" s="1" t="s">
        <v>20</v>
      </c>
      <c r="J152" s="1" t="s">
        <v>21</v>
      </c>
      <c r="K152" s="1" t="s">
        <v>22</v>
      </c>
      <c r="L152" s="1" t="s">
        <v>1244</v>
      </c>
      <c r="M152" s="1" t="s">
        <v>24</v>
      </c>
      <c r="N152" s="18">
        <v>2</v>
      </c>
      <c r="O152" s="1" t="s">
        <v>24</v>
      </c>
      <c r="P152" s="1" t="s">
        <v>584</v>
      </c>
    </row>
    <row r="153" spans="1:16" x14ac:dyDescent="0.3">
      <c r="A153" s="1" t="s">
        <v>585</v>
      </c>
      <c r="B153" s="1" t="s">
        <v>586</v>
      </c>
      <c r="C153" s="1"/>
      <c r="D153" s="16">
        <v>599</v>
      </c>
      <c r="E153" s="16">
        <v>126</v>
      </c>
      <c r="F153" s="5">
        <v>0.78</v>
      </c>
      <c r="G153" s="1" t="s">
        <v>32</v>
      </c>
      <c r="H153" s="1">
        <v>1</v>
      </c>
      <c r="I153" s="1" t="s">
        <v>20</v>
      </c>
      <c r="J153" s="1" t="s">
        <v>21</v>
      </c>
      <c r="K153" s="1" t="s">
        <v>34</v>
      </c>
      <c r="L153" s="1" t="s">
        <v>1244</v>
      </c>
      <c r="M153" s="1" t="s">
        <v>36</v>
      </c>
      <c r="N153" s="18">
        <v>2</v>
      </c>
      <c r="O153" s="1" t="s">
        <v>36</v>
      </c>
      <c r="P153" s="1" t="s">
        <v>38</v>
      </c>
    </row>
    <row r="154" spans="1:16" x14ac:dyDescent="0.3">
      <c r="A154" s="1" t="s">
        <v>587</v>
      </c>
      <c r="B154" s="1" t="s">
        <v>145</v>
      </c>
      <c r="C154" s="1"/>
      <c r="D154" s="16">
        <v>399</v>
      </c>
      <c r="E154" s="16">
        <v>123</v>
      </c>
      <c r="F154" s="5">
        <v>0.69</v>
      </c>
      <c r="G154" s="1" t="s">
        <v>32</v>
      </c>
      <c r="H154" s="1">
        <v>1</v>
      </c>
      <c r="I154" s="1" t="s">
        <v>20</v>
      </c>
      <c r="J154" s="1" t="s">
        <v>43</v>
      </c>
      <c r="K154" s="1" t="s">
        <v>22</v>
      </c>
      <c r="L154" s="1" t="s">
        <v>1244</v>
      </c>
      <c r="M154" s="1" t="s">
        <v>36</v>
      </c>
      <c r="N154" s="18">
        <v>0.5</v>
      </c>
      <c r="O154" s="1" t="s">
        <v>36</v>
      </c>
      <c r="P154" s="1" t="s">
        <v>148</v>
      </c>
    </row>
    <row r="155" spans="1:16" x14ac:dyDescent="0.3">
      <c r="A155" s="1" t="s">
        <v>588</v>
      </c>
      <c r="B155" s="1" t="s">
        <v>589</v>
      </c>
      <c r="C155" s="1"/>
      <c r="D155" s="16">
        <v>298</v>
      </c>
      <c r="E155" s="16">
        <v>127</v>
      </c>
      <c r="F155" s="5">
        <v>0.56999999999999995</v>
      </c>
      <c r="G155" s="1" t="s">
        <v>32</v>
      </c>
      <c r="H155" s="1">
        <v>1</v>
      </c>
      <c r="I155" s="1" t="s">
        <v>20</v>
      </c>
      <c r="J155" s="1" t="s">
        <v>66</v>
      </c>
      <c r="K155" s="1" t="s">
        <v>34</v>
      </c>
      <c r="L155" s="1" t="s">
        <v>1244</v>
      </c>
      <c r="M155" s="1" t="s">
        <v>36</v>
      </c>
      <c r="N155" s="18">
        <v>5</v>
      </c>
      <c r="O155" s="1" t="s">
        <v>36</v>
      </c>
      <c r="P155" s="1" t="s">
        <v>591</v>
      </c>
    </row>
    <row r="156" spans="1:16" x14ac:dyDescent="0.3">
      <c r="A156" s="1" t="s">
        <v>592</v>
      </c>
      <c r="B156" s="1" t="s">
        <v>593</v>
      </c>
      <c r="C156" s="1"/>
      <c r="D156" s="16">
        <v>280</v>
      </c>
      <c r="E156" s="16">
        <v>155</v>
      </c>
      <c r="F156" s="5">
        <v>0.44</v>
      </c>
      <c r="G156" s="1" t="s">
        <v>32</v>
      </c>
      <c r="H156" s="1">
        <v>1</v>
      </c>
      <c r="I156" s="1" t="s">
        <v>20</v>
      </c>
      <c r="J156" s="1" t="s">
        <v>33</v>
      </c>
      <c r="K156" s="1" t="s">
        <v>22</v>
      </c>
      <c r="L156" s="1" t="s">
        <v>1244</v>
      </c>
      <c r="M156" s="1" t="s">
        <v>36</v>
      </c>
      <c r="N156" s="18">
        <v>2</v>
      </c>
      <c r="O156" s="1" t="s">
        <v>36</v>
      </c>
      <c r="P156" s="1" t="s">
        <v>395</v>
      </c>
    </row>
    <row r="157" spans="1:16" x14ac:dyDescent="0.3">
      <c r="A157" s="1" t="s">
        <v>596</v>
      </c>
      <c r="B157" s="1" t="s">
        <v>597</v>
      </c>
      <c r="C157" s="1"/>
      <c r="D157" s="16">
        <v>305</v>
      </c>
      <c r="E157" s="16">
        <v>119</v>
      </c>
      <c r="F157" s="5">
        <v>0.6</v>
      </c>
      <c r="G157" s="1" t="s">
        <v>32</v>
      </c>
      <c r="H157" s="1">
        <v>1</v>
      </c>
      <c r="I157" s="1" t="s">
        <v>20</v>
      </c>
      <c r="J157" s="1" t="s">
        <v>66</v>
      </c>
      <c r="K157" s="1" t="s">
        <v>211</v>
      </c>
      <c r="L157" s="1" t="s">
        <v>1244</v>
      </c>
      <c r="M157" s="1" t="s">
        <v>36</v>
      </c>
      <c r="N157" s="18">
        <v>2</v>
      </c>
      <c r="O157" s="1" t="s">
        <v>36</v>
      </c>
      <c r="P157" s="1" t="s">
        <v>167</v>
      </c>
    </row>
    <row r="158" spans="1:16" x14ac:dyDescent="0.3">
      <c r="A158" s="1" t="s">
        <v>599</v>
      </c>
      <c r="B158" s="1" t="s">
        <v>600</v>
      </c>
      <c r="C158" s="1"/>
      <c r="D158" s="16">
        <v>399</v>
      </c>
      <c r="E158" s="16">
        <v>158</v>
      </c>
      <c r="F158" s="5">
        <v>0.6</v>
      </c>
      <c r="G158" s="1" t="s">
        <v>19</v>
      </c>
      <c r="H158" s="1">
        <v>2</v>
      </c>
      <c r="I158" s="1" t="s">
        <v>20</v>
      </c>
      <c r="J158" s="1" t="s">
        <v>43</v>
      </c>
      <c r="K158" s="1" t="s">
        <v>22</v>
      </c>
      <c r="L158" s="1" t="s">
        <v>1244</v>
      </c>
      <c r="M158" s="1" t="s">
        <v>36</v>
      </c>
      <c r="N158" s="18">
        <v>1</v>
      </c>
      <c r="O158" s="1" t="s">
        <v>36</v>
      </c>
      <c r="P158" s="1" t="s">
        <v>602</v>
      </c>
    </row>
    <row r="159" spans="1:16" x14ac:dyDescent="0.3">
      <c r="A159" s="1" t="s">
        <v>603</v>
      </c>
      <c r="B159" s="1" t="s">
        <v>604</v>
      </c>
      <c r="C159" s="1"/>
      <c r="D159" s="16">
        <v>247</v>
      </c>
      <c r="E159" s="16">
        <v>119</v>
      </c>
      <c r="F159" s="5">
        <v>0.51</v>
      </c>
      <c r="G159" s="1" t="s">
        <v>32</v>
      </c>
      <c r="H159" s="1">
        <v>1</v>
      </c>
      <c r="I159" s="1" t="s">
        <v>20</v>
      </c>
      <c r="J159" s="1" t="s">
        <v>66</v>
      </c>
      <c r="K159" s="1" t="s">
        <v>22</v>
      </c>
      <c r="L159" s="1" t="s">
        <v>1244</v>
      </c>
      <c r="M159" s="1" t="s">
        <v>36</v>
      </c>
      <c r="N159" s="18">
        <v>2</v>
      </c>
      <c r="O159" s="1" t="s">
        <v>36</v>
      </c>
      <c r="P159" s="1" t="s">
        <v>606</v>
      </c>
    </row>
    <row r="160" spans="1:16" x14ac:dyDescent="0.3">
      <c r="A160" s="1" t="s">
        <v>607</v>
      </c>
      <c r="B160" s="1" t="s">
        <v>608</v>
      </c>
      <c r="C160" s="1"/>
      <c r="D160" s="16">
        <v>450</v>
      </c>
      <c r="E160" s="16">
        <v>131</v>
      </c>
      <c r="F160" s="5">
        <v>0.7</v>
      </c>
      <c r="G160" s="1" t="s">
        <v>32</v>
      </c>
      <c r="H160" s="1" t="s">
        <v>25</v>
      </c>
      <c r="I160" s="1" t="s">
        <v>20</v>
      </c>
      <c r="J160" s="1" t="s">
        <v>33</v>
      </c>
      <c r="K160" s="1" t="s">
        <v>22</v>
      </c>
      <c r="L160" s="1" t="s">
        <v>1244</v>
      </c>
      <c r="M160" s="1" t="s">
        <v>24</v>
      </c>
      <c r="N160" s="18">
        <v>1</v>
      </c>
      <c r="O160" s="1" t="s">
        <v>36</v>
      </c>
      <c r="P160" s="1" t="s">
        <v>87</v>
      </c>
    </row>
    <row r="161" spans="1:16" x14ac:dyDescent="0.3">
      <c r="A161" s="1" t="s">
        <v>612</v>
      </c>
      <c r="B161" s="1" t="s">
        <v>263</v>
      </c>
      <c r="C161" s="1"/>
      <c r="D161" s="16">
        <v>439</v>
      </c>
      <c r="E161" s="16">
        <v>119</v>
      </c>
      <c r="F161" s="5">
        <v>0.72</v>
      </c>
      <c r="G161" s="1" t="s">
        <v>32</v>
      </c>
      <c r="H161" s="1">
        <v>1</v>
      </c>
      <c r="I161" s="1" t="s">
        <v>20</v>
      </c>
      <c r="J161" s="1" t="s">
        <v>66</v>
      </c>
      <c r="K161" s="1" t="s">
        <v>22</v>
      </c>
      <c r="L161" s="1" t="s">
        <v>1244</v>
      </c>
      <c r="M161" s="1" t="s">
        <v>36</v>
      </c>
      <c r="N161" s="18">
        <v>0.6</v>
      </c>
      <c r="O161" s="1" t="s">
        <v>36</v>
      </c>
      <c r="P161" s="1" t="s">
        <v>38</v>
      </c>
    </row>
    <row r="162" spans="1:16" x14ac:dyDescent="0.3">
      <c r="A162" s="1" t="s">
        <v>614</v>
      </c>
      <c r="B162" s="1" t="s">
        <v>615</v>
      </c>
      <c r="C162" s="1"/>
      <c r="D162" s="16">
        <v>599</v>
      </c>
      <c r="E162" s="16">
        <v>126</v>
      </c>
      <c r="F162" s="5">
        <v>0.78</v>
      </c>
      <c r="G162" s="1" t="s">
        <v>32</v>
      </c>
      <c r="H162" s="1">
        <v>1</v>
      </c>
      <c r="I162" s="1" t="s">
        <v>20</v>
      </c>
      <c r="J162" s="1" t="s">
        <v>33</v>
      </c>
      <c r="K162" s="1" t="s">
        <v>34</v>
      </c>
      <c r="L162" s="1" t="s">
        <v>1244</v>
      </c>
      <c r="M162" s="1" t="s">
        <v>36</v>
      </c>
      <c r="N162" s="18">
        <v>2</v>
      </c>
      <c r="O162" s="1" t="s">
        <v>36</v>
      </c>
      <c r="P162" s="1" t="s">
        <v>38</v>
      </c>
    </row>
    <row r="163" spans="1:16" x14ac:dyDescent="0.3">
      <c r="A163" s="1" t="s">
        <v>616</v>
      </c>
      <c r="B163" s="1" t="s">
        <v>617</v>
      </c>
      <c r="C163" s="1"/>
      <c r="D163" s="16">
        <v>399</v>
      </c>
      <c r="E163" s="16">
        <v>126</v>
      </c>
      <c r="F163" s="5">
        <v>0.68</v>
      </c>
      <c r="G163" s="1" t="s">
        <v>32</v>
      </c>
      <c r="H163" s="1">
        <v>1</v>
      </c>
      <c r="I163" s="1" t="s">
        <v>20</v>
      </c>
      <c r="J163" s="1" t="s">
        <v>33</v>
      </c>
      <c r="K163" s="1" t="s">
        <v>34</v>
      </c>
      <c r="L163" s="1" t="s">
        <v>1244</v>
      </c>
      <c r="M163" s="1" t="s">
        <v>24</v>
      </c>
      <c r="N163" s="18">
        <v>2</v>
      </c>
      <c r="O163" s="1" t="s">
        <v>36</v>
      </c>
      <c r="P163" s="1" t="s">
        <v>158</v>
      </c>
    </row>
    <row r="164" spans="1:16" x14ac:dyDescent="0.3">
      <c r="A164" s="1" t="s">
        <v>618</v>
      </c>
      <c r="B164" s="1" t="s">
        <v>619</v>
      </c>
      <c r="C164" s="1"/>
      <c r="D164" s="16">
        <v>298</v>
      </c>
      <c r="E164" s="16">
        <v>123</v>
      </c>
      <c r="F164" s="5">
        <v>0.57999999999999996</v>
      </c>
      <c r="G164" s="1" t="s">
        <v>32</v>
      </c>
      <c r="H164" s="1">
        <v>1</v>
      </c>
      <c r="I164" s="1" t="s">
        <v>20</v>
      </c>
      <c r="J164" s="1" t="s">
        <v>33</v>
      </c>
      <c r="K164" s="1" t="s">
        <v>34</v>
      </c>
      <c r="L164" s="1" t="s">
        <v>1244</v>
      </c>
      <c r="M164" s="1" t="s">
        <v>36</v>
      </c>
      <c r="N164" s="18">
        <v>2</v>
      </c>
      <c r="O164" s="1" t="s">
        <v>36</v>
      </c>
      <c r="P164" s="1" t="s">
        <v>57</v>
      </c>
    </row>
    <row r="165" spans="1:16" x14ac:dyDescent="0.3">
      <c r="A165" s="1" t="s">
        <v>620</v>
      </c>
      <c r="B165" s="1" t="s">
        <v>621</v>
      </c>
      <c r="C165" s="1"/>
      <c r="D165" s="16">
        <v>499</v>
      </c>
      <c r="E165" s="16">
        <v>126</v>
      </c>
      <c r="F165" s="5">
        <v>0.74</v>
      </c>
      <c r="G165" s="1" t="s">
        <v>32</v>
      </c>
      <c r="H165" s="1">
        <v>1</v>
      </c>
      <c r="I165" s="1" t="s">
        <v>20</v>
      </c>
      <c r="J165" s="1" t="s">
        <v>43</v>
      </c>
      <c r="K165" s="1" t="s">
        <v>34</v>
      </c>
      <c r="L165" s="1" t="s">
        <v>1244</v>
      </c>
      <c r="M165" s="1" t="s">
        <v>24</v>
      </c>
      <c r="N165" s="18">
        <v>0.6</v>
      </c>
      <c r="O165" s="1" t="s">
        <v>36</v>
      </c>
      <c r="P165" s="1" t="s">
        <v>622</v>
      </c>
    </row>
    <row r="166" spans="1:16" x14ac:dyDescent="0.3">
      <c r="A166" s="1" t="s">
        <v>623</v>
      </c>
      <c r="B166" s="1" t="s">
        <v>624</v>
      </c>
      <c r="C166" s="1"/>
      <c r="D166" s="16">
        <v>499</v>
      </c>
      <c r="E166" s="16">
        <v>123</v>
      </c>
      <c r="F166" s="5">
        <v>0.75</v>
      </c>
      <c r="G166" s="1" t="s">
        <v>32</v>
      </c>
      <c r="H166" s="1">
        <v>1</v>
      </c>
      <c r="I166" s="1" t="s">
        <v>20</v>
      </c>
      <c r="J166" s="1" t="s">
        <v>43</v>
      </c>
      <c r="K166" s="1" t="s">
        <v>34</v>
      </c>
      <c r="L166" s="1" t="s">
        <v>1244</v>
      </c>
      <c r="M166" s="1" t="s">
        <v>24</v>
      </c>
      <c r="N166" s="18">
        <v>2</v>
      </c>
      <c r="O166" s="1" t="s">
        <v>36</v>
      </c>
      <c r="P166" s="1" t="s">
        <v>252</v>
      </c>
    </row>
    <row r="167" spans="1:16" x14ac:dyDescent="0.3">
      <c r="A167" s="1" t="s">
        <v>625</v>
      </c>
      <c r="B167" s="1" t="s">
        <v>626</v>
      </c>
      <c r="C167" s="1"/>
      <c r="D167" s="16">
        <v>389</v>
      </c>
      <c r="E167" s="16">
        <v>161</v>
      </c>
      <c r="F167" s="5">
        <v>0.57999999999999996</v>
      </c>
      <c r="G167" s="1" t="s">
        <v>19</v>
      </c>
      <c r="H167" s="1">
        <v>2</v>
      </c>
      <c r="I167" s="1" t="s">
        <v>20</v>
      </c>
      <c r="J167" s="1" t="s">
        <v>43</v>
      </c>
      <c r="K167" s="1" t="s">
        <v>34</v>
      </c>
      <c r="L167" s="1" t="s">
        <v>1244</v>
      </c>
      <c r="M167" s="1" t="s">
        <v>24</v>
      </c>
      <c r="N167" s="18">
        <v>20</v>
      </c>
      <c r="O167" s="1" t="s">
        <v>36</v>
      </c>
      <c r="P167" s="1" t="s">
        <v>158</v>
      </c>
    </row>
    <row r="168" spans="1:16" x14ac:dyDescent="0.3">
      <c r="A168" s="1" t="s">
        <v>629</v>
      </c>
      <c r="B168" s="1" t="s">
        <v>630</v>
      </c>
      <c r="C168" s="1"/>
      <c r="D168" s="16">
        <v>445</v>
      </c>
      <c r="E168" s="16">
        <v>299</v>
      </c>
      <c r="F168" s="5">
        <v>0.32</v>
      </c>
      <c r="G168" s="1" t="s">
        <v>32</v>
      </c>
      <c r="H168" s="1">
        <v>1</v>
      </c>
      <c r="I168" s="1" t="s">
        <v>20</v>
      </c>
      <c r="J168" s="1" t="s">
        <v>243</v>
      </c>
      <c r="K168" s="1" t="s">
        <v>211</v>
      </c>
      <c r="L168" s="1" t="s">
        <v>23</v>
      </c>
      <c r="M168" s="1" t="s">
        <v>24</v>
      </c>
      <c r="N168" s="18">
        <v>2</v>
      </c>
      <c r="O168" s="1" t="s">
        <v>24</v>
      </c>
      <c r="P168" s="1" t="s">
        <v>106</v>
      </c>
    </row>
    <row r="169" spans="1:16" x14ac:dyDescent="0.3">
      <c r="A169" s="1" t="s">
        <v>633</v>
      </c>
      <c r="B169" s="1" t="s">
        <v>634</v>
      </c>
      <c r="C169" s="1"/>
      <c r="D169" s="16">
        <v>399</v>
      </c>
      <c r="E169" s="16">
        <v>137</v>
      </c>
      <c r="F169" s="5">
        <v>0.65</v>
      </c>
      <c r="G169" s="1" t="s">
        <v>19</v>
      </c>
      <c r="H169" s="1">
        <v>2</v>
      </c>
      <c r="I169" s="1" t="s">
        <v>20</v>
      </c>
      <c r="J169" s="1" t="s">
        <v>33</v>
      </c>
      <c r="K169" s="1" t="s">
        <v>22</v>
      </c>
      <c r="L169" s="1" t="s">
        <v>1244</v>
      </c>
      <c r="M169" s="1" t="s">
        <v>36</v>
      </c>
      <c r="N169" s="18">
        <v>2</v>
      </c>
      <c r="O169" s="1" t="s">
        <v>36</v>
      </c>
      <c r="P169" s="1" t="s">
        <v>636</v>
      </c>
    </row>
    <row r="170" spans="1:16" x14ac:dyDescent="0.3">
      <c r="A170" s="1" t="s">
        <v>637</v>
      </c>
      <c r="B170" s="1" t="s">
        <v>325</v>
      </c>
      <c r="C170" s="1"/>
      <c r="D170" s="16">
        <v>499</v>
      </c>
      <c r="E170" s="16">
        <v>122</v>
      </c>
      <c r="F170" s="5">
        <v>0.75</v>
      </c>
      <c r="G170" s="1" t="s">
        <v>32</v>
      </c>
      <c r="H170" s="1">
        <v>1</v>
      </c>
      <c r="I170" s="1" t="s">
        <v>20</v>
      </c>
      <c r="J170" s="1" t="s">
        <v>33</v>
      </c>
      <c r="K170" s="1" t="s">
        <v>22</v>
      </c>
      <c r="L170" s="1" t="s">
        <v>1244</v>
      </c>
      <c r="M170" s="1" t="s">
        <v>36</v>
      </c>
      <c r="N170" s="18">
        <v>1</v>
      </c>
      <c r="O170" s="1" t="s">
        <v>36</v>
      </c>
      <c r="P170" s="1" t="s">
        <v>73</v>
      </c>
    </row>
    <row r="171" spans="1:16" x14ac:dyDescent="0.3">
      <c r="A171" s="1" t="s">
        <v>639</v>
      </c>
      <c r="B171" s="1" t="s">
        <v>640</v>
      </c>
      <c r="C171" s="1"/>
      <c r="D171" s="16">
        <v>599</v>
      </c>
      <c r="E171" s="16">
        <v>125</v>
      </c>
      <c r="F171" s="5">
        <v>0.79</v>
      </c>
      <c r="G171" s="1" t="s">
        <v>32</v>
      </c>
      <c r="H171" s="1">
        <v>1</v>
      </c>
      <c r="I171" s="1" t="s">
        <v>20</v>
      </c>
      <c r="J171" s="1" t="s">
        <v>66</v>
      </c>
      <c r="K171" s="1" t="s">
        <v>34</v>
      </c>
      <c r="L171" s="1" t="s">
        <v>1244</v>
      </c>
      <c r="M171" s="1" t="s">
        <v>36</v>
      </c>
      <c r="N171" s="18">
        <v>2</v>
      </c>
      <c r="O171" s="1" t="s">
        <v>36</v>
      </c>
      <c r="P171" s="1" t="s">
        <v>38</v>
      </c>
    </row>
    <row r="172" spans="1:16" x14ac:dyDescent="0.3">
      <c r="A172" s="1" t="s">
        <v>641</v>
      </c>
      <c r="B172" s="1" t="s">
        <v>642</v>
      </c>
      <c r="C172" s="1"/>
      <c r="D172" s="16">
        <v>499</v>
      </c>
      <c r="E172" s="16">
        <v>129</v>
      </c>
      <c r="F172" s="5">
        <v>0.74</v>
      </c>
      <c r="G172" s="1" t="s">
        <v>19</v>
      </c>
      <c r="H172" s="1">
        <v>2</v>
      </c>
      <c r="I172" s="1" t="s">
        <v>20</v>
      </c>
      <c r="J172" s="1" t="s">
        <v>33</v>
      </c>
      <c r="K172" s="1" t="s">
        <v>22</v>
      </c>
      <c r="L172" s="1" t="s">
        <v>1244</v>
      </c>
      <c r="M172" s="1" t="s">
        <v>24</v>
      </c>
      <c r="N172" s="18">
        <v>1</v>
      </c>
      <c r="O172" s="1" t="s">
        <v>36</v>
      </c>
      <c r="P172" s="1" t="s">
        <v>73</v>
      </c>
    </row>
    <row r="173" spans="1:16" x14ac:dyDescent="0.3">
      <c r="A173" s="1" t="s">
        <v>643</v>
      </c>
      <c r="B173" s="1" t="s">
        <v>470</v>
      </c>
      <c r="C173" s="1"/>
      <c r="D173" s="16">
        <v>499</v>
      </c>
      <c r="E173" s="16">
        <v>119</v>
      </c>
      <c r="F173" s="5">
        <v>0.76</v>
      </c>
      <c r="G173" s="1" t="s">
        <v>19</v>
      </c>
      <c r="H173" s="1">
        <v>2</v>
      </c>
      <c r="I173" s="1" t="s">
        <v>20</v>
      </c>
      <c r="J173" s="1" t="s">
        <v>33</v>
      </c>
      <c r="K173" s="1" t="s">
        <v>34</v>
      </c>
      <c r="L173" s="1" t="s">
        <v>1244</v>
      </c>
      <c r="M173" s="1" t="s">
        <v>36</v>
      </c>
      <c r="N173" s="18">
        <v>2</v>
      </c>
      <c r="O173" s="1" t="s">
        <v>36</v>
      </c>
      <c r="P173" s="1" t="s">
        <v>38</v>
      </c>
    </row>
    <row r="174" spans="1:16" x14ac:dyDescent="0.3">
      <c r="A174" s="1" t="s">
        <v>644</v>
      </c>
      <c r="B174" s="1" t="s">
        <v>645</v>
      </c>
      <c r="C174" s="1"/>
      <c r="D174" s="16">
        <v>800</v>
      </c>
      <c r="E174" s="16">
        <v>390</v>
      </c>
      <c r="F174" s="5">
        <v>0.51</v>
      </c>
      <c r="G174" s="1" t="s">
        <v>32</v>
      </c>
      <c r="H174" s="1">
        <v>1</v>
      </c>
      <c r="I174" s="1" t="s">
        <v>20</v>
      </c>
      <c r="J174" s="1" t="s">
        <v>105</v>
      </c>
      <c r="K174" s="1" t="s">
        <v>22</v>
      </c>
      <c r="L174" s="1" t="s">
        <v>1244</v>
      </c>
      <c r="M174" s="1" t="s">
        <v>36</v>
      </c>
      <c r="N174" s="18">
        <v>4</v>
      </c>
      <c r="O174" s="1" t="s">
        <v>36</v>
      </c>
      <c r="P174" s="1" t="s">
        <v>180</v>
      </c>
    </row>
    <row r="175" spans="1:16" x14ac:dyDescent="0.3">
      <c r="A175" s="1" t="s">
        <v>648</v>
      </c>
      <c r="B175" s="1" t="s">
        <v>649</v>
      </c>
      <c r="C175" s="1"/>
      <c r="D175" s="16">
        <v>251</v>
      </c>
      <c r="E175" s="16">
        <v>118</v>
      </c>
      <c r="F175" s="5">
        <v>0.52</v>
      </c>
      <c r="G175" s="1" t="s">
        <v>32</v>
      </c>
      <c r="H175" s="1">
        <v>1</v>
      </c>
      <c r="I175" s="1" t="s">
        <v>20</v>
      </c>
      <c r="J175" s="1" t="s">
        <v>43</v>
      </c>
      <c r="K175" s="1" t="s">
        <v>22</v>
      </c>
      <c r="L175" s="1" t="s">
        <v>1244</v>
      </c>
      <c r="M175" s="1" t="s">
        <v>24</v>
      </c>
      <c r="N175" s="18">
        <v>2</v>
      </c>
      <c r="O175" s="1" t="s">
        <v>36</v>
      </c>
      <c r="P175" s="1" t="s">
        <v>380</v>
      </c>
    </row>
    <row r="176" spans="1:16" x14ac:dyDescent="0.3">
      <c r="A176" s="1" t="s">
        <v>651</v>
      </c>
      <c r="B176" s="1" t="s">
        <v>652</v>
      </c>
      <c r="C176" s="1"/>
      <c r="D176" s="16">
        <v>499</v>
      </c>
      <c r="E176" s="16">
        <v>210</v>
      </c>
      <c r="F176" s="5">
        <v>0.56999999999999995</v>
      </c>
      <c r="G176" s="1" t="s">
        <v>19</v>
      </c>
      <c r="H176" s="1">
        <v>2</v>
      </c>
      <c r="I176" s="1" t="s">
        <v>20</v>
      </c>
      <c r="J176" s="1" t="s">
        <v>98</v>
      </c>
      <c r="K176" s="1" t="s">
        <v>34</v>
      </c>
      <c r="L176" s="1" t="s">
        <v>1244</v>
      </c>
      <c r="M176" s="1" t="s">
        <v>24</v>
      </c>
      <c r="N176" s="18">
        <v>0.3</v>
      </c>
      <c r="O176" s="1" t="s">
        <v>24</v>
      </c>
      <c r="P176" s="1" t="s">
        <v>654</v>
      </c>
    </row>
    <row r="177" spans="1:16" x14ac:dyDescent="0.3">
      <c r="A177" s="1" t="s">
        <v>655</v>
      </c>
      <c r="B177" s="1" t="s">
        <v>656</v>
      </c>
      <c r="C177" s="1"/>
      <c r="D177" s="16">
        <v>425</v>
      </c>
      <c r="E177" s="16">
        <v>122</v>
      </c>
      <c r="F177" s="5">
        <v>0.71</v>
      </c>
      <c r="G177" s="1" t="s">
        <v>32</v>
      </c>
      <c r="H177" s="1">
        <v>1</v>
      </c>
      <c r="I177" s="1" t="s">
        <v>20</v>
      </c>
      <c r="J177" s="1" t="s">
        <v>43</v>
      </c>
      <c r="K177" s="1" t="s">
        <v>34</v>
      </c>
      <c r="L177" s="1" t="s">
        <v>1244</v>
      </c>
      <c r="M177" s="1" t="s">
        <v>36</v>
      </c>
      <c r="N177" s="18">
        <v>0.2</v>
      </c>
      <c r="O177" s="1" t="s">
        <v>36</v>
      </c>
      <c r="P177" s="1" t="s">
        <v>550</v>
      </c>
    </row>
    <row r="178" spans="1:16" x14ac:dyDescent="0.3">
      <c r="A178" s="1" t="s">
        <v>658</v>
      </c>
      <c r="B178" s="1" t="s">
        <v>659</v>
      </c>
      <c r="C178" s="1"/>
      <c r="D178" s="16">
        <v>399</v>
      </c>
      <c r="E178" s="16">
        <v>142</v>
      </c>
      <c r="F178" s="5">
        <v>0.64</v>
      </c>
      <c r="G178" s="1" t="s">
        <v>32</v>
      </c>
      <c r="H178" s="1">
        <v>1</v>
      </c>
      <c r="I178" s="1" t="s">
        <v>20</v>
      </c>
      <c r="J178" s="1" t="s">
        <v>243</v>
      </c>
      <c r="K178" s="1" t="s">
        <v>34</v>
      </c>
      <c r="L178" s="1" t="s">
        <v>1244</v>
      </c>
      <c r="M178" s="1" t="s">
        <v>24</v>
      </c>
      <c r="N178" s="18">
        <v>2</v>
      </c>
      <c r="O178" s="1" t="s">
        <v>24</v>
      </c>
      <c r="P178" s="1" t="s">
        <v>440</v>
      </c>
    </row>
    <row r="179" spans="1:16" x14ac:dyDescent="0.3">
      <c r="A179" s="1" t="s">
        <v>661</v>
      </c>
      <c r="B179" s="1" t="s">
        <v>662</v>
      </c>
      <c r="C179" s="1"/>
      <c r="D179" s="16">
        <v>849</v>
      </c>
      <c r="E179" s="16">
        <v>145</v>
      </c>
      <c r="F179" s="5">
        <v>0.82</v>
      </c>
      <c r="G179" s="1" t="s">
        <v>32</v>
      </c>
      <c r="H179" s="1">
        <v>1</v>
      </c>
      <c r="I179" s="1" t="s">
        <v>20</v>
      </c>
      <c r="J179" s="1" t="s">
        <v>21</v>
      </c>
      <c r="K179" s="1" t="s">
        <v>34</v>
      </c>
      <c r="L179" s="1" t="s">
        <v>1244</v>
      </c>
      <c r="M179" s="1" t="s">
        <v>36</v>
      </c>
      <c r="N179" s="18">
        <v>2</v>
      </c>
      <c r="O179" s="1" t="s">
        <v>36</v>
      </c>
      <c r="P179" s="1" t="s">
        <v>227</v>
      </c>
    </row>
    <row r="180" spans="1:16" x14ac:dyDescent="0.3">
      <c r="A180" s="1" t="s">
        <v>663</v>
      </c>
      <c r="B180" s="1" t="s">
        <v>664</v>
      </c>
      <c r="C180" s="1"/>
      <c r="D180" s="16">
        <v>384</v>
      </c>
      <c r="E180" s="16">
        <v>140</v>
      </c>
      <c r="F180" s="5">
        <v>0.63</v>
      </c>
      <c r="G180" s="1" t="s">
        <v>32</v>
      </c>
      <c r="H180" s="1">
        <v>1</v>
      </c>
      <c r="I180" s="1" t="s">
        <v>20</v>
      </c>
      <c r="J180" s="1" t="s">
        <v>135</v>
      </c>
      <c r="K180" s="1" t="s">
        <v>22</v>
      </c>
      <c r="L180" s="1" t="s">
        <v>23</v>
      </c>
      <c r="M180" s="1" t="s">
        <v>24</v>
      </c>
      <c r="N180" s="18">
        <v>1</v>
      </c>
      <c r="O180" s="1" t="s">
        <v>36</v>
      </c>
      <c r="P180" s="1" t="s">
        <v>666</v>
      </c>
    </row>
    <row r="181" spans="1:16" x14ac:dyDescent="0.3">
      <c r="A181" s="1" t="s">
        <v>667</v>
      </c>
      <c r="B181" s="1" t="s">
        <v>668</v>
      </c>
      <c r="C181" s="1"/>
      <c r="D181" s="16">
        <v>599</v>
      </c>
      <c r="E181" s="16">
        <v>129</v>
      </c>
      <c r="F181" s="5">
        <v>0.78</v>
      </c>
      <c r="G181" s="1" t="s">
        <v>32</v>
      </c>
      <c r="H181" s="1">
        <v>1</v>
      </c>
      <c r="I181" s="1" t="s">
        <v>20</v>
      </c>
      <c r="J181" s="1" t="s">
        <v>43</v>
      </c>
      <c r="K181" s="1" t="s">
        <v>22</v>
      </c>
      <c r="L181" s="1" t="s">
        <v>1244</v>
      </c>
      <c r="M181" s="1" t="s">
        <v>36</v>
      </c>
      <c r="N181" s="18">
        <v>2</v>
      </c>
      <c r="O181" s="1" t="s">
        <v>36</v>
      </c>
      <c r="P181" s="1" t="s">
        <v>669</v>
      </c>
    </row>
    <row r="182" spans="1:16" x14ac:dyDescent="0.3">
      <c r="A182" s="1" t="s">
        <v>670</v>
      </c>
      <c r="B182" s="1" t="s">
        <v>671</v>
      </c>
      <c r="C182" s="1"/>
      <c r="D182" s="16">
        <v>299</v>
      </c>
      <c r="E182" s="16">
        <v>126</v>
      </c>
      <c r="F182" s="5">
        <v>0.56999999999999995</v>
      </c>
      <c r="G182" s="1" t="s">
        <v>32</v>
      </c>
      <c r="H182" s="1">
        <v>1</v>
      </c>
      <c r="I182" s="1" t="s">
        <v>20</v>
      </c>
      <c r="J182" s="1" t="s">
        <v>43</v>
      </c>
      <c r="K182" s="1" t="s">
        <v>22</v>
      </c>
      <c r="L182" s="1" t="s">
        <v>1244</v>
      </c>
      <c r="M182" s="1" t="s">
        <v>24</v>
      </c>
      <c r="N182" s="18">
        <v>1</v>
      </c>
      <c r="O182" s="1" t="s">
        <v>36</v>
      </c>
      <c r="P182" s="1" t="s">
        <v>73</v>
      </c>
    </row>
    <row r="183" spans="1:16" x14ac:dyDescent="0.3">
      <c r="A183" s="1" t="s">
        <v>672</v>
      </c>
      <c r="B183" s="1" t="s">
        <v>673</v>
      </c>
      <c r="C183" s="1"/>
      <c r="D183" s="16">
        <v>499</v>
      </c>
      <c r="E183" s="16">
        <v>126</v>
      </c>
      <c r="F183" s="5">
        <v>0.74</v>
      </c>
      <c r="G183" s="1" t="s">
        <v>32</v>
      </c>
      <c r="H183" s="1">
        <v>1</v>
      </c>
      <c r="I183" s="1" t="s">
        <v>20</v>
      </c>
      <c r="J183" s="1" t="s">
        <v>135</v>
      </c>
      <c r="K183" s="1" t="s">
        <v>22</v>
      </c>
      <c r="L183" s="1" t="s">
        <v>1244</v>
      </c>
      <c r="M183" s="1" t="s">
        <v>36</v>
      </c>
      <c r="N183" s="18">
        <v>2</v>
      </c>
      <c r="O183" s="1" t="s">
        <v>36</v>
      </c>
      <c r="P183" s="1" t="s">
        <v>112</v>
      </c>
    </row>
    <row r="184" spans="1:16" x14ac:dyDescent="0.3">
      <c r="A184" s="1" t="s">
        <v>674</v>
      </c>
      <c r="B184" s="1" t="s">
        <v>675</v>
      </c>
      <c r="C184" s="1"/>
      <c r="D184" s="16">
        <v>1200</v>
      </c>
      <c r="E184" s="16">
        <v>133</v>
      </c>
      <c r="F184" s="5">
        <v>0.88</v>
      </c>
      <c r="G184" s="1" t="s">
        <v>32</v>
      </c>
      <c r="H184" s="1">
        <v>1</v>
      </c>
      <c r="I184" s="1" t="s">
        <v>20</v>
      </c>
      <c r="J184" s="1" t="s">
        <v>43</v>
      </c>
      <c r="K184" s="1" t="s">
        <v>22</v>
      </c>
      <c r="L184" s="1" t="s">
        <v>1244</v>
      </c>
      <c r="M184" s="1" t="s">
        <v>36</v>
      </c>
      <c r="N184" s="18">
        <v>2</v>
      </c>
      <c r="O184" s="1" t="s">
        <v>36</v>
      </c>
      <c r="P184" s="1" t="s">
        <v>503</v>
      </c>
    </row>
    <row r="185" spans="1:16" x14ac:dyDescent="0.3">
      <c r="A185" s="1" t="s">
        <v>676</v>
      </c>
      <c r="B185" s="1" t="s">
        <v>160</v>
      </c>
      <c r="C185" s="1"/>
      <c r="D185" s="16">
        <v>599</v>
      </c>
      <c r="E185" s="16">
        <v>125</v>
      </c>
      <c r="F185" s="5">
        <v>0.79</v>
      </c>
      <c r="G185" s="1" t="s">
        <v>32</v>
      </c>
      <c r="H185" s="1">
        <v>1</v>
      </c>
      <c r="I185" s="1" t="s">
        <v>20</v>
      </c>
      <c r="J185" s="1" t="s">
        <v>43</v>
      </c>
      <c r="K185" s="1" t="s">
        <v>34</v>
      </c>
      <c r="L185" s="1" t="s">
        <v>1244</v>
      </c>
      <c r="M185" s="1" t="s">
        <v>36</v>
      </c>
      <c r="N185" s="18">
        <v>2</v>
      </c>
      <c r="O185" s="1" t="s">
        <v>36</v>
      </c>
      <c r="P185" s="1" t="s">
        <v>38</v>
      </c>
    </row>
    <row r="186" spans="1:16" x14ac:dyDescent="0.3">
      <c r="A186" s="1" t="s">
        <v>677</v>
      </c>
      <c r="B186" s="1" t="s">
        <v>678</v>
      </c>
      <c r="C186" s="1"/>
      <c r="D186" s="16">
        <v>799</v>
      </c>
      <c r="E186" s="16">
        <v>174</v>
      </c>
      <c r="F186" s="5">
        <v>0.78</v>
      </c>
      <c r="G186" s="1" t="s">
        <v>19</v>
      </c>
      <c r="H186" s="1">
        <v>2</v>
      </c>
      <c r="I186" s="1" t="s">
        <v>20</v>
      </c>
      <c r="J186" s="1" t="s">
        <v>105</v>
      </c>
      <c r="K186" s="1" t="s">
        <v>211</v>
      </c>
      <c r="L186" s="1" t="s">
        <v>23</v>
      </c>
      <c r="M186" s="1" t="s">
        <v>36</v>
      </c>
      <c r="N186" s="18">
        <v>2</v>
      </c>
      <c r="O186" s="1" t="s">
        <v>36</v>
      </c>
      <c r="P186" s="1" t="s">
        <v>679</v>
      </c>
    </row>
    <row r="187" spans="1:16" x14ac:dyDescent="0.3">
      <c r="A187" s="1" t="s">
        <v>680</v>
      </c>
      <c r="B187" s="1" t="s">
        <v>681</v>
      </c>
      <c r="C187" s="1"/>
      <c r="D187" s="16">
        <v>299</v>
      </c>
      <c r="E187" s="16">
        <v>135</v>
      </c>
      <c r="F187" s="5">
        <v>0.54</v>
      </c>
      <c r="G187" s="1" t="s">
        <v>32</v>
      </c>
      <c r="H187" s="1">
        <v>1</v>
      </c>
      <c r="I187" s="1" t="s">
        <v>20</v>
      </c>
      <c r="J187" s="1" t="s">
        <v>66</v>
      </c>
      <c r="K187" s="1" t="s">
        <v>22</v>
      </c>
      <c r="L187" s="1" t="s">
        <v>1244</v>
      </c>
      <c r="M187" s="1" t="s">
        <v>24</v>
      </c>
      <c r="N187" s="18">
        <v>1</v>
      </c>
      <c r="O187" s="1" t="s">
        <v>36</v>
      </c>
      <c r="P187" s="1" t="s">
        <v>666</v>
      </c>
    </row>
    <row r="188" spans="1:16" x14ac:dyDescent="0.3">
      <c r="A188" s="1" t="s">
        <v>683</v>
      </c>
      <c r="B188" s="1" t="s">
        <v>684</v>
      </c>
      <c r="C188" s="1"/>
      <c r="D188" s="16">
        <v>1999</v>
      </c>
      <c r="E188" s="16">
        <v>599</v>
      </c>
      <c r="F188" s="5">
        <v>0.7</v>
      </c>
      <c r="G188" s="1" t="s">
        <v>32</v>
      </c>
      <c r="H188" s="1">
        <v>1</v>
      </c>
      <c r="I188" s="1" t="s">
        <v>20</v>
      </c>
      <c r="J188" s="1" t="s">
        <v>105</v>
      </c>
      <c r="K188" s="1" t="s">
        <v>34</v>
      </c>
      <c r="L188" s="1" t="s">
        <v>23</v>
      </c>
      <c r="M188" s="1" t="s">
        <v>36</v>
      </c>
      <c r="N188" s="18">
        <v>2</v>
      </c>
      <c r="O188" s="1" t="s">
        <v>24</v>
      </c>
      <c r="P188" s="1" t="s">
        <v>106</v>
      </c>
    </row>
    <row r="189" spans="1:16" x14ac:dyDescent="0.3">
      <c r="A189" s="1" t="s">
        <v>686</v>
      </c>
      <c r="B189" s="1" t="s">
        <v>687</v>
      </c>
      <c r="C189" s="1"/>
      <c r="D189" s="16">
        <v>449</v>
      </c>
      <c r="E189" s="16">
        <v>145</v>
      </c>
      <c r="F189" s="5">
        <v>0.67</v>
      </c>
      <c r="G189" s="1" t="s">
        <v>32</v>
      </c>
      <c r="H189" s="1">
        <v>1</v>
      </c>
      <c r="I189" s="1" t="s">
        <v>20</v>
      </c>
      <c r="J189" s="1" t="s">
        <v>43</v>
      </c>
      <c r="K189" s="1" t="s">
        <v>34</v>
      </c>
      <c r="L189" s="1" t="s">
        <v>23</v>
      </c>
      <c r="M189" s="1" t="s">
        <v>24</v>
      </c>
      <c r="N189" s="18">
        <v>2</v>
      </c>
      <c r="O189" s="1" t="s">
        <v>36</v>
      </c>
      <c r="P189" s="1" t="s">
        <v>688</v>
      </c>
    </row>
    <row r="190" spans="1:16" x14ac:dyDescent="0.3">
      <c r="A190" s="1" t="s">
        <v>689</v>
      </c>
      <c r="B190" s="1" t="s">
        <v>690</v>
      </c>
      <c r="C190" s="1"/>
      <c r="D190" s="16">
        <v>499</v>
      </c>
      <c r="E190" s="16">
        <v>139</v>
      </c>
      <c r="F190" s="5">
        <v>0.72</v>
      </c>
      <c r="G190" s="1" t="s">
        <v>32</v>
      </c>
      <c r="H190" s="1">
        <v>1</v>
      </c>
      <c r="I190" s="1" t="s">
        <v>20</v>
      </c>
      <c r="J190" s="1" t="s">
        <v>33</v>
      </c>
      <c r="K190" s="1" t="s">
        <v>34</v>
      </c>
      <c r="L190" s="1" t="s">
        <v>1244</v>
      </c>
      <c r="M190" s="1" t="s">
        <v>24</v>
      </c>
      <c r="N190" s="18">
        <v>2</v>
      </c>
      <c r="O190" s="1" t="s">
        <v>36</v>
      </c>
      <c r="P190" s="1" t="s">
        <v>158</v>
      </c>
    </row>
    <row r="191" spans="1:16" x14ac:dyDescent="0.3">
      <c r="A191" s="1" t="s">
        <v>691</v>
      </c>
      <c r="B191" s="1" t="s">
        <v>692</v>
      </c>
      <c r="C191" s="1"/>
      <c r="D191" s="16">
        <v>1200</v>
      </c>
      <c r="E191" s="16">
        <v>125</v>
      </c>
      <c r="F191" s="5">
        <v>0.89</v>
      </c>
      <c r="G191" s="1" t="s">
        <v>32</v>
      </c>
      <c r="H191" s="1">
        <v>1</v>
      </c>
      <c r="I191" s="1" t="s">
        <v>20</v>
      </c>
      <c r="J191" s="1" t="s">
        <v>105</v>
      </c>
      <c r="K191" s="1" t="s">
        <v>34</v>
      </c>
      <c r="L191" s="1" t="s">
        <v>23</v>
      </c>
      <c r="M191" s="1" t="s">
        <v>36</v>
      </c>
      <c r="N191" s="18">
        <v>2</v>
      </c>
      <c r="O191" s="1" t="s">
        <v>24</v>
      </c>
      <c r="P191" s="1" t="s">
        <v>694</v>
      </c>
    </row>
    <row r="192" spans="1:16" x14ac:dyDescent="0.3">
      <c r="A192" s="1" t="s">
        <v>695</v>
      </c>
      <c r="B192" s="1" t="s">
        <v>696</v>
      </c>
      <c r="C192" s="1"/>
      <c r="D192" s="16">
        <v>295</v>
      </c>
      <c r="E192" s="16">
        <v>127</v>
      </c>
      <c r="F192" s="5">
        <v>0.56000000000000005</v>
      </c>
      <c r="G192" s="1" t="s">
        <v>32</v>
      </c>
      <c r="H192" s="1">
        <v>1</v>
      </c>
      <c r="I192" s="1" t="s">
        <v>20</v>
      </c>
      <c r="J192" s="1" t="s">
        <v>98</v>
      </c>
      <c r="K192" s="1" t="s">
        <v>34</v>
      </c>
      <c r="L192" s="1" t="s">
        <v>23</v>
      </c>
      <c r="M192" s="1" t="s">
        <v>36</v>
      </c>
      <c r="N192" s="18">
        <v>2</v>
      </c>
      <c r="O192" s="1" t="s">
        <v>24</v>
      </c>
      <c r="P192" s="1" t="s">
        <v>698</v>
      </c>
    </row>
    <row r="193" spans="1:16" x14ac:dyDescent="0.3">
      <c r="A193" s="1" t="s">
        <v>699</v>
      </c>
      <c r="B193" s="1" t="s">
        <v>700</v>
      </c>
      <c r="C193" s="1"/>
      <c r="D193" s="16">
        <v>550</v>
      </c>
      <c r="E193" s="16">
        <v>275</v>
      </c>
      <c r="F193" s="5">
        <v>0.5</v>
      </c>
      <c r="G193" s="1" t="s">
        <v>19</v>
      </c>
      <c r="H193" s="1">
        <v>2</v>
      </c>
      <c r="I193" s="1" t="s">
        <v>20</v>
      </c>
      <c r="J193" s="1" t="s">
        <v>98</v>
      </c>
      <c r="K193" s="1" t="s">
        <v>22</v>
      </c>
      <c r="L193" s="1" t="s">
        <v>1244</v>
      </c>
      <c r="M193" s="1" t="s">
        <v>36</v>
      </c>
      <c r="N193" s="18">
        <v>1</v>
      </c>
      <c r="O193" s="1" t="s">
        <v>24</v>
      </c>
      <c r="P193" s="1" t="s">
        <v>703</v>
      </c>
    </row>
    <row r="194" spans="1:16" x14ac:dyDescent="0.3">
      <c r="A194" s="1" t="s">
        <v>704</v>
      </c>
      <c r="B194" s="1" t="s">
        <v>705</v>
      </c>
      <c r="C194" s="1"/>
      <c r="D194" s="16">
        <v>399</v>
      </c>
      <c r="E194" s="16">
        <v>126</v>
      </c>
      <c r="F194" s="5">
        <v>0.68</v>
      </c>
      <c r="G194" s="1" t="s">
        <v>19</v>
      </c>
      <c r="H194" s="1">
        <v>2</v>
      </c>
      <c r="I194" s="1" t="s">
        <v>20</v>
      </c>
      <c r="J194" s="1" t="s">
        <v>33</v>
      </c>
      <c r="K194" s="1" t="s">
        <v>22</v>
      </c>
      <c r="L194" s="1" t="s">
        <v>1244</v>
      </c>
      <c r="M194" s="1" t="s">
        <v>36</v>
      </c>
      <c r="N194" s="18">
        <v>2</v>
      </c>
      <c r="O194" s="1" t="s">
        <v>36</v>
      </c>
      <c r="P194" s="1" t="s">
        <v>289</v>
      </c>
    </row>
    <row r="195" spans="1:16" x14ac:dyDescent="0.3">
      <c r="A195" s="1" t="s">
        <v>706</v>
      </c>
      <c r="B195" s="1" t="s">
        <v>552</v>
      </c>
      <c r="C195" s="1"/>
      <c r="D195" s="16">
        <v>599</v>
      </c>
      <c r="E195" s="16">
        <v>128</v>
      </c>
      <c r="F195" s="5">
        <v>0.78</v>
      </c>
      <c r="G195" s="1" t="s">
        <v>32</v>
      </c>
      <c r="H195" s="1">
        <v>1</v>
      </c>
      <c r="I195" s="1" t="s">
        <v>20</v>
      </c>
      <c r="J195" s="1" t="s">
        <v>33</v>
      </c>
      <c r="K195" s="1" t="s">
        <v>34</v>
      </c>
      <c r="L195" s="1" t="s">
        <v>1244</v>
      </c>
      <c r="M195" s="1" t="s">
        <v>36</v>
      </c>
      <c r="N195" s="18">
        <v>2</v>
      </c>
      <c r="O195" s="1" t="s">
        <v>36</v>
      </c>
      <c r="P195" s="1" t="s">
        <v>38</v>
      </c>
    </row>
    <row r="196" spans="1:16" x14ac:dyDescent="0.3">
      <c r="A196" s="1" t="s">
        <v>707</v>
      </c>
      <c r="B196" s="1" t="s">
        <v>708</v>
      </c>
      <c r="C196" s="1"/>
      <c r="D196" s="16">
        <v>1399</v>
      </c>
      <c r="E196" s="16">
        <v>129</v>
      </c>
      <c r="F196" s="5">
        <v>0.9</v>
      </c>
      <c r="G196" s="1" t="s">
        <v>32</v>
      </c>
      <c r="H196" s="1">
        <v>1</v>
      </c>
      <c r="I196" s="1" t="s">
        <v>20</v>
      </c>
      <c r="J196" s="1" t="s">
        <v>105</v>
      </c>
      <c r="K196" s="1" t="s">
        <v>34</v>
      </c>
      <c r="L196" s="1" t="s">
        <v>23</v>
      </c>
      <c r="M196" s="1" t="s">
        <v>36</v>
      </c>
      <c r="N196" s="18">
        <v>2</v>
      </c>
      <c r="O196" s="1" t="s">
        <v>24</v>
      </c>
      <c r="P196" s="1" t="s">
        <v>711</v>
      </c>
    </row>
    <row r="197" spans="1:16" x14ac:dyDescent="0.3">
      <c r="A197" s="1" t="s">
        <v>712</v>
      </c>
      <c r="B197" s="1" t="s">
        <v>713</v>
      </c>
      <c r="C197" s="1"/>
      <c r="D197" s="16">
        <v>399</v>
      </c>
      <c r="E197" s="16">
        <v>127</v>
      </c>
      <c r="F197" s="5">
        <v>0.68</v>
      </c>
      <c r="G197" s="1" t="s">
        <v>19</v>
      </c>
      <c r="H197" s="1">
        <v>2</v>
      </c>
      <c r="I197" s="1" t="s">
        <v>20</v>
      </c>
      <c r="J197" s="1" t="s">
        <v>91</v>
      </c>
      <c r="K197" s="1" t="s">
        <v>34</v>
      </c>
      <c r="L197" s="1" t="s">
        <v>1244</v>
      </c>
      <c r="M197" s="1" t="s">
        <v>24</v>
      </c>
      <c r="N197" s="18">
        <v>0.3</v>
      </c>
      <c r="O197" s="1" t="s">
        <v>36</v>
      </c>
      <c r="P197" s="1" t="s">
        <v>714</v>
      </c>
    </row>
    <row r="198" spans="1:16" x14ac:dyDescent="0.3">
      <c r="A198" s="1" t="s">
        <v>715</v>
      </c>
      <c r="B198" s="1" t="s">
        <v>716</v>
      </c>
      <c r="C198" s="1"/>
      <c r="D198" s="16">
        <v>499</v>
      </c>
      <c r="E198" s="16">
        <v>128</v>
      </c>
      <c r="F198" s="5">
        <v>0.74</v>
      </c>
      <c r="G198" s="1" t="s">
        <v>32</v>
      </c>
      <c r="H198" s="1">
        <v>1</v>
      </c>
      <c r="I198" s="1" t="s">
        <v>20</v>
      </c>
      <c r="J198" s="1" t="s">
        <v>33</v>
      </c>
      <c r="K198" s="1" t="s">
        <v>22</v>
      </c>
      <c r="L198" s="1" t="s">
        <v>1244</v>
      </c>
      <c r="M198" s="1" t="s">
        <v>36</v>
      </c>
      <c r="N198" s="18">
        <v>1</v>
      </c>
      <c r="O198" s="1" t="s">
        <v>36</v>
      </c>
      <c r="P198" s="1" t="s">
        <v>300</v>
      </c>
    </row>
    <row r="199" spans="1:16" x14ac:dyDescent="0.3">
      <c r="A199" s="1" t="s">
        <v>717</v>
      </c>
      <c r="B199" s="1" t="s">
        <v>718</v>
      </c>
      <c r="C199" s="1"/>
      <c r="D199" s="16">
        <v>349</v>
      </c>
      <c r="E199" s="16">
        <v>163</v>
      </c>
      <c r="F199" s="5">
        <v>0.53</v>
      </c>
      <c r="G199" s="1" t="s">
        <v>32</v>
      </c>
      <c r="H199" s="1">
        <v>1</v>
      </c>
      <c r="I199" s="1" t="s">
        <v>20</v>
      </c>
      <c r="J199" s="1" t="s">
        <v>105</v>
      </c>
      <c r="K199" s="1" t="s">
        <v>34</v>
      </c>
      <c r="L199" s="1" t="s">
        <v>1244</v>
      </c>
      <c r="M199" s="1" t="s">
        <v>36</v>
      </c>
      <c r="N199" s="18">
        <v>1</v>
      </c>
      <c r="O199" s="1" t="s">
        <v>36</v>
      </c>
      <c r="P199" s="1" t="s">
        <v>720</v>
      </c>
    </row>
    <row r="200" spans="1:16" x14ac:dyDescent="0.3">
      <c r="A200" s="1" t="s">
        <v>721</v>
      </c>
      <c r="B200" s="1" t="s">
        <v>722</v>
      </c>
      <c r="C200" s="1"/>
      <c r="D200" s="16">
        <v>788</v>
      </c>
      <c r="E200" s="16">
        <v>132</v>
      </c>
      <c r="F200" s="5">
        <v>0.83</v>
      </c>
      <c r="G200" s="1" t="s">
        <v>32</v>
      </c>
      <c r="H200" s="1">
        <v>1</v>
      </c>
      <c r="I200" s="1" t="s">
        <v>20</v>
      </c>
      <c r="J200" s="1" t="s">
        <v>322</v>
      </c>
      <c r="K200" s="1" t="s">
        <v>22</v>
      </c>
      <c r="L200" s="1" t="s">
        <v>1244</v>
      </c>
      <c r="M200" s="1" t="s">
        <v>36</v>
      </c>
      <c r="N200" s="18">
        <v>1</v>
      </c>
      <c r="O200" s="1" t="s">
        <v>36</v>
      </c>
      <c r="P200" s="1" t="s">
        <v>724</v>
      </c>
    </row>
    <row r="201" spans="1:16" x14ac:dyDescent="0.3">
      <c r="A201" s="1" t="s">
        <v>725</v>
      </c>
      <c r="B201" s="1" t="s">
        <v>726</v>
      </c>
      <c r="C201" s="1"/>
      <c r="D201" s="16">
        <v>449</v>
      </c>
      <c r="E201" s="16">
        <v>140</v>
      </c>
      <c r="F201" s="5">
        <v>0.68</v>
      </c>
      <c r="G201" s="1" t="s">
        <v>32</v>
      </c>
      <c r="H201" s="1">
        <v>1</v>
      </c>
      <c r="I201" s="1" t="s">
        <v>20</v>
      </c>
      <c r="J201" s="1" t="s">
        <v>43</v>
      </c>
      <c r="K201" s="1" t="s">
        <v>22</v>
      </c>
      <c r="L201" s="1" t="s">
        <v>1244</v>
      </c>
      <c r="M201" s="1" t="s">
        <v>24</v>
      </c>
      <c r="N201" s="18">
        <v>1</v>
      </c>
      <c r="O201" s="1" t="s">
        <v>36</v>
      </c>
      <c r="P201" s="1" t="s">
        <v>87</v>
      </c>
    </row>
    <row r="202" spans="1:16" x14ac:dyDescent="0.3">
      <c r="A202" s="1" t="s">
        <v>727</v>
      </c>
      <c r="B202" s="1" t="s">
        <v>728</v>
      </c>
      <c r="C202" s="1"/>
      <c r="D202" s="16">
        <v>749</v>
      </c>
      <c r="E202" s="16">
        <v>130</v>
      </c>
      <c r="F202" s="5">
        <v>0.82</v>
      </c>
      <c r="G202" s="1" t="s">
        <v>32</v>
      </c>
      <c r="H202" s="1">
        <v>1</v>
      </c>
      <c r="I202" s="1" t="s">
        <v>20</v>
      </c>
      <c r="J202" s="1" t="s">
        <v>135</v>
      </c>
      <c r="K202" s="1" t="s">
        <v>22</v>
      </c>
      <c r="L202" s="1" t="s">
        <v>1244</v>
      </c>
      <c r="M202" s="1" t="s">
        <v>36</v>
      </c>
      <c r="N202" s="18">
        <v>2</v>
      </c>
      <c r="O202" s="1" t="s">
        <v>36</v>
      </c>
      <c r="P202" s="1" t="s">
        <v>216</v>
      </c>
    </row>
    <row r="203" spans="1:16" x14ac:dyDescent="0.3">
      <c r="A203" s="1" t="s">
        <v>730</v>
      </c>
      <c r="B203" s="1" t="s">
        <v>731</v>
      </c>
      <c r="C203" s="1"/>
      <c r="D203" s="16">
        <v>494</v>
      </c>
      <c r="E203" s="16">
        <v>129</v>
      </c>
      <c r="F203" s="5">
        <v>0.73</v>
      </c>
      <c r="G203" s="1" t="s">
        <v>19</v>
      </c>
      <c r="H203" s="1">
        <v>2</v>
      </c>
      <c r="I203" s="1" t="s">
        <v>20</v>
      </c>
      <c r="J203" s="1" t="s">
        <v>33</v>
      </c>
      <c r="K203" s="1" t="s">
        <v>34</v>
      </c>
      <c r="L203" s="1" t="s">
        <v>1244</v>
      </c>
      <c r="M203" s="1" t="s">
        <v>36</v>
      </c>
      <c r="N203" s="18">
        <v>2</v>
      </c>
      <c r="O203" s="1" t="s">
        <v>36</v>
      </c>
      <c r="P203" s="1" t="s">
        <v>38</v>
      </c>
    </row>
    <row r="204" spans="1:16" x14ac:dyDescent="0.3">
      <c r="A204" s="1" t="s">
        <v>733</v>
      </c>
      <c r="B204" s="1" t="s">
        <v>734</v>
      </c>
      <c r="C204" s="1"/>
      <c r="D204" s="16">
        <v>499</v>
      </c>
      <c r="E204" s="16">
        <v>155</v>
      </c>
      <c r="F204" s="5">
        <v>0.68</v>
      </c>
      <c r="G204" s="1" t="s">
        <v>32</v>
      </c>
      <c r="H204" s="1">
        <v>1</v>
      </c>
      <c r="I204" s="1" t="s">
        <v>20</v>
      </c>
      <c r="J204" s="1" t="s">
        <v>43</v>
      </c>
      <c r="K204" s="1" t="s">
        <v>22</v>
      </c>
      <c r="L204" s="1" t="s">
        <v>1244</v>
      </c>
      <c r="M204" s="1" t="s">
        <v>24</v>
      </c>
      <c r="N204" s="18">
        <v>2</v>
      </c>
      <c r="O204" s="1" t="s">
        <v>36</v>
      </c>
      <c r="P204" s="1" t="s">
        <v>735</v>
      </c>
    </row>
    <row r="205" spans="1:16" x14ac:dyDescent="0.3">
      <c r="A205" s="1" t="s">
        <v>736</v>
      </c>
      <c r="B205" s="1" t="s">
        <v>737</v>
      </c>
      <c r="C205" s="1"/>
      <c r="D205" s="16">
        <v>349</v>
      </c>
      <c r="E205" s="16">
        <v>239</v>
      </c>
      <c r="F205" s="5">
        <v>0.31</v>
      </c>
      <c r="G205" s="1" t="s">
        <v>32</v>
      </c>
      <c r="H205" s="1">
        <v>1</v>
      </c>
      <c r="I205" s="1" t="s">
        <v>20</v>
      </c>
      <c r="J205" s="1" t="s">
        <v>243</v>
      </c>
      <c r="K205" s="1" t="s">
        <v>34</v>
      </c>
      <c r="L205" s="1" t="s">
        <v>23</v>
      </c>
      <c r="M205" s="1" t="s">
        <v>24</v>
      </c>
      <c r="N205" s="18">
        <v>2</v>
      </c>
      <c r="O205" s="1" t="s">
        <v>24</v>
      </c>
      <c r="P205" s="1" t="s">
        <v>106</v>
      </c>
    </row>
    <row r="206" spans="1:16" x14ac:dyDescent="0.3">
      <c r="A206" s="1" t="s">
        <v>740</v>
      </c>
      <c r="B206" s="1" t="s">
        <v>741</v>
      </c>
      <c r="C206" s="1"/>
      <c r="D206" s="16">
        <v>999</v>
      </c>
      <c r="E206" s="16">
        <v>129</v>
      </c>
      <c r="F206" s="5">
        <v>0.87</v>
      </c>
      <c r="G206" s="1" t="s">
        <v>19</v>
      </c>
      <c r="H206" s="1">
        <v>2</v>
      </c>
      <c r="I206" s="1" t="s">
        <v>20</v>
      </c>
      <c r="J206" s="1" t="s">
        <v>105</v>
      </c>
      <c r="K206" s="1" t="s">
        <v>22</v>
      </c>
      <c r="L206" s="1" t="s">
        <v>1244</v>
      </c>
      <c r="M206" s="1" t="s">
        <v>36</v>
      </c>
      <c r="N206" s="18">
        <v>10</v>
      </c>
      <c r="O206" s="1" t="s">
        <v>36</v>
      </c>
      <c r="P206" s="1" t="s">
        <v>742</v>
      </c>
    </row>
    <row r="207" spans="1:16" x14ac:dyDescent="0.3">
      <c r="A207" s="1" t="s">
        <v>743</v>
      </c>
      <c r="B207" s="1" t="s">
        <v>744</v>
      </c>
      <c r="C207" s="1"/>
      <c r="D207" s="16">
        <v>799</v>
      </c>
      <c r="E207" s="16">
        <v>128</v>
      </c>
      <c r="F207" s="5">
        <v>0.83</v>
      </c>
      <c r="G207" s="1" t="s">
        <v>19</v>
      </c>
      <c r="H207" s="1">
        <v>2</v>
      </c>
      <c r="I207" s="1" t="s">
        <v>20</v>
      </c>
      <c r="J207" s="1" t="s">
        <v>43</v>
      </c>
      <c r="K207" s="1" t="s">
        <v>34</v>
      </c>
      <c r="L207" s="1" t="s">
        <v>1244</v>
      </c>
      <c r="M207" s="1" t="s">
        <v>24</v>
      </c>
      <c r="N207" s="18">
        <v>1</v>
      </c>
      <c r="O207" s="1" t="s">
        <v>36</v>
      </c>
      <c r="P207" s="1" t="s">
        <v>745</v>
      </c>
    </row>
    <row r="208" spans="1:16" x14ac:dyDescent="0.3">
      <c r="A208" s="1" t="s">
        <v>746</v>
      </c>
      <c r="B208" s="1" t="s">
        <v>747</v>
      </c>
      <c r="C208" s="1"/>
      <c r="D208" s="16">
        <v>766</v>
      </c>
      <c r="E208" s="16">
        <v>128</v>
      </c>
      <c r="F208" s="5">
        <v>0.83</v>
      </c>
      <c r="G208" s="1" t="s">
        <v>32</v>
      </c>
      <c r="H208" s="1">
        <v>1</v>
      </c>
      <c r="I208" s="1" t="s">
        <v>20</v>
      </c>
      <c r="J208" s="1" t="s">
        <v>105</v>
      </c>
      <c r="K208" s="1" t="s">
        <v>34</v>
      </c>
      <c r="L208" s="1" t="s">
        <v>23</v>
      </c>
      <c r="M208" s="1" t="s">
        <v>36</v>
      </c>
      <c r="N208" s="18">
        <v>2</v>
      </c>
      <c r="O208" s="1" t="s">
        <v>24</v>
      </c>
      <c r="P208" s="1" t="s">
        <v>749</v>
      </c>
    </row>
    <row r="209" spans="1:16" x14ac:dyDescent="0.3">
      <c r="A209" s="1" t="s">
        <v>750</v>
      </c>
      <c r="B209" s="1" t="s">
        <v>713</v>
      </c>
      <c r="C209" s="1"/>
      <c r="D209" s="16">
        <v>399</v>
      </c>
      <c r="E209" s="16">
        <v>126</v>
      </c>
      <c r="F209" s="5">
        <v>0.68</v>
      </c>
      <c r="G209" s="1" t="s">
        <v>19</v>
      </c>
      <c r="H209" s="1">
        <v>2</v>
      </c>
      <c r="I209" s="1" t="s">
        <v>20</v>
      </c>
      <c r="J209" s="1" t="s">
        <v>91</v>
      </c>
      <c r="K209" s="1" t="s">
        <v>34</v>
      </c>
      <c r="L209" s="1" t="s">
        <v>1244</v>
      </c>
      <c r="M209" s="1" t="s">
        <v>24</v>
      </c>
      <c r="N209" s="18">
        <v>0.6</v>
      </c>
      <c r="O209" s="1" t="s">
        <v>36</v>
      </c>
      <c r="P209" s="1" t="s">
        <v>714</v>
      </c>
    </row>
    <row r="210" spans="1:16" x14ac:dyDescent="0.3">
      <c r="A210" s="1" t="s">
        <v>751</v>
      </c>
      <c r="B210" s="1" t="s">
        <v>752</v>
      </c>
      <c r="C210" s="1"/>
      <c r="D210" s="16">
        <v>499</v>
      </c>
      <c r="E210" s="16">
        <v>139</v>
      </c>
      <c r="F210" s="5">
        <v>0.72</v>
      </c>
      <c r="G210" s="1" t="s">
        <v>19</v>
      </c>
      <c r="H210" s="1">
        <v>2</v>
      </c>
      <c r="I210" s="1" t="s">
        <v>20</v>
      </c>
      <c r="J210" s="1" t="s">
        <v>66</v>
      </c>
      <c r="K210" s="1" t="s">
        <v>34</v>
      </c>
      <c r="L210" s="1" t="s">
        <v>1244</v>
      </c>
      <c r="M210" s="1" t="s">
        <v>24</v>
      </c>
      <c r="N210" s="18">
        <v>10</v>
      </c>
      <c r="O210" s="1" t="s">
        <v>36</v>
      </c>
      <c r="P210" s="1" t="s">
        <v>158</v>
      </c>
    </row>
    <row r="211" spans="1:16" x14ac:dyDescent="0.3">
      <c r="A211" s="1" t="s">
        <v>753</v>
      </c>
      <c r="B211" s="1" t="s">
        <v>754</v>
      </c>
      <c r="C211" s="1"/>
      <c r="D211" s="16">
        <v>499</v>
      </c>
      <c r="E211" s="16">
        <v>160</v>
      </c>
      <c r="F211" s="5">
        <v>0.67</v>
      </c>
      <c r="G211" s="1" t="s">
        <v>32</v>
      </c>
      <c r="H211" s="1">
        <v>1</v>
      </c>
      <c r="I211" s="1" t="s">
        <v>20</v>
      </c>
      <c r="J211" s="1" t="s">
        <v>105</v>
      </c>
      <c r="K211" s="1" t="s">
        <v>22</v>
      </c>
      <c r="L211" s="1" t="s">
        <v>1244</v>
      </c>
      <c r="M211" s="1" t="s">
        <v>36</v>
      </c>
      <c r="N211" s="18">
        <v>2</v>
      </c>
      <c r="O211" s="1" t="s">
        <v>36</v>
      </c>
      <c r="P211" s="1" t="s">
        <v>112</v>
      </c>
    </row>
    <row r="212" spans="1:16" x14ac:dyDescent="0.3">
      <c r="A212" s="1" t="s">
        <v>755</v>
      </c>
      <c r="B212" s="1" t="s">
        <v>756</v>
      </c>
      <c r="C212" s="1"/>
      <c r="D212" s="16">
        <v>499</v>
      </c>
      <c r="E212" s="16">
        <v>135</v>
      </c>
      <c r="F212" s="5">
        <v>0.72</v>
      </c>
      <c r="G212" s="1" t="s">
        <v>32</v>
      </c>
      <c r="H212" s="1">
        <v>1</v>
      </c>
      <c r="I212" s="1" t="s">
        <v>20</v>
      </c>
      <c r="J212" s="1" t="s">
        <v>322</v>
      </c>
      <c r="K212" s="1" t="s">
        <v>34</v>
      </c>
      <c r="L212" s="1" t="s">
        <v>23</v>
      </c>
      <c r="M212" s="1" t="s">
        <v>24</v>
      </c>
      <c r="N212" s="18">
        <v>2</v>
      </c>
      <c r="O212" s="1" t="s">
        <v>36</v>
      </c>
      <c r="P212" s="1" t="s">
        <v>757</v>
      </c>
    </row>
    <row r="213" spans="1:16" x14ac:dyDescent="0.3">
      <c r="A213" s="1" t="s">
        <v>758</v>
      </c>
      <c r="B213" s="1" t="s">
        <v>759</v>
      </c>
      <c r="C213" s="1"/>
      <c r="D213" s="16">
        <v>419</v>
      </c>
      <c r="E213" s="16">
        <v>124</v>
      </c>
      <c r="F213" s="5">
        <v>0.7</v>
      </c>
      <c r="G213" s="1" t="s">
        <v>32</v>
      </c>
      <c r="H213" s="1">
        <v>1</v>
      </c>
      <c r="I213" s="1" t="s">
        <v>20</v>
      </c>
      <c r="J213" s="1" t="s">
        <v>43</v>
      </c>
      <c r="K213" s="1" t="s">
        <v>34</v>
      </c>
      <c r="L213" s="1" t="s">
        <v>1244</v>
      </c>
      <c r="M213" s="1" t="s">
        <v>24</v>
      </c>
      <c r="N213" s="18">
        <v>3</v>
      </c>
      <c r="O213" s="1" t="s">
        <v>36</v>
      </c>
      <c r="P213" s="1" t="s">
        <v>79</v>
      </c>
    </row>
    <row r="214" spans="1:16" x14ac:dyDescent="0.3">
      <c r="A214" s="1" t="s">
        <v>760</v>
      </c>
      <c r="B214" s="1" t="s">
        <v>761</v>
      </c>
      <c r="C214" s="1"/>
      <c r="D214" s="16">
        <v>499</v>
      </c>
      <c r="E214" s="16">
        <v>127</v>
      </c>
      <c r="F214" s="5">
        <v>0.74</v>
      </c>
      <c r="G214" s="1" t="s">
        <v>32</v>
      </c>
      <c r="H214" s="1">
        <v>1</v>
      </c>
      <c r="I214" s="1" t="s">
        <v>20</v>
      </c>
      <c r="J214" s="1" t="s">
        <v>33</v>
      </c>
      <c r="K214" s="1" t="s">
        <v>211</v>
      </c>
      <c r="L214" s="1" t="s">
        <v>1244</v>
      </c>
      <c r="M214" s="1" t="s">
        <v>36</v>
      </c>
      <c r="N214" s="18">
        <v>1</v>
      </c>
      <c r="O214" s="1" t="s">
        <v>36</v>
      </c>
      <c r="P214" s="1" t="s">
        <v>38</v>
      </c>
    </row>
    <row r="215" spans="1:16" x14ac:dyDescent="0.3">
      <c r="A215" s="1" t="s">
        <v>763</v>
      </c>
      <c r="B215" s="1" t="s">
        <v>764</v>
      </c>
      <c r="C215" s="1"/>
      <c r="D215" s="16">
        <v>499</v>
      </c>
      <c r="E215" s="16">
        <v>132</v>
      </c>
      <c r="F215" s="5">
        <v>0.73</v>
      </c>
      <c r="G215" s="1" t="s">
        <v>19</v>
      </c>
      <c r="H215" s="1">
        <v>2</v>
      </c>
      <c r="I215" s="1" t="s">
        <v>20</v>
      </c>
      <c r="J215" s="1" t="s">
        <v>43</v>
      </c>
      <c r="K215" s="1" t="s">
        <v>34</v>
      </c>
      <c r="L215" s="1" t="s">
        <v>1244</v>
      </c>
      <c r="M215" s="1" t="s">
        <v>24</v>
      </c>
      <c r="N215" s="18">
        <v>2</v>
      </c>
      <c r="O215" s="1" t="s">
        <v>36</v>
      </c>
      <c r="P215" s="1" t="s">
        <v>79</v>
      </c>
    </row>
    <row r="216" spans="1:16" x14ac:dyDescent="0.3">
      <c r="A216" s="1" t="s">
        <v>765</v>
      </c>
      <c r="B216" s="1" t="s">
        <v>766</v>
      </c>
      <c r="C216" s="1"/>
      <c r="D216" s="16">
        <v>199</v>
      </c>
      <c r="E216" s="16">
        <v>127</v>
      </c>
      <c r="F216" s="5">
        <v>0.36</v>
      </c>
      <c r="G216" s="1" t="s">
        <v>32</v>
      </c>
      <c r="H216" s="1">
        <v>1</v>
      </c>
      <c r="I216" s="1" t="s">
        <v>20</v>
      </c>
      <c r="J216" s="1" t="s">
        <v>43</v>
      </c>
      <c r="K216" s="1" t="s">
        <v>22</v>
      </c>
      <c r="L216" s="1" t="s">
        <v>1244</v>
      </c>
      <c r="M216" s="1" t="s">
        <v>24</v>
      </c>
      <c r="N216" s="18">
        <v>1</v>
      </c>
      <c r="O216" s="1" t="s">
        <v>36</v>
      </c>
      <c r="P216" s="1" t="s">
        <v>73</v>
      </c>
    </row>
    <row r="217" spans="1:16" x14ac:dyDescent="0.3">
      <c r="A217" s="1" t="s">
        <v>767</v>
      </c>
      <c r="B217" s="1" t="s">
        <v>768</v>
      </c>
      <c r="C217" s="1"/>
      <c r="D217" s="16">
        <v>399</v>
      </c>
      <c r="E217" s="16">
        <v>140</v>
      </c>
      <c r="F217" s="5">
        <v>0.64</v>
      </c>
      <c r="G217" s="1" t="s">
        <v>19</v>
      </c>
      <c r="H217" s="1">
        <v>2</v>
      </c>
      <c r="I217" s="1" t="s">
        <v>20</v>
      </c>
      <c r="J217" s="1" t="s">
        <v>43</v>
      </c>
      <c r="K217" s="1" t="s">
        <v>22</v>
      </c>
      <c r="L217" s="1" t="s">
        <v>1244</v>
      </c>
      <c r="M217" s="1" t="s">
        <v>24</v>
      </c>
      <c r="N217" s="18">
        <v>1</v>
      </c>
      <c r="O217" s="1" t="s">
        <v>36</v>
      </c>
      <c r="P217" s="1" t="s">
        <v>770</v>
      </c>
    </row>
    <row r="218" spans="1:16" x14ac:dyDescent="0.3">
      <c r="A218" s="1" t="s">
        <v>771</v>
      </c>
      <c r="B218" s="1" t="s">
        <v>772</v>
      </c>
      <c r="C218" s="1"/>
      <c r="D218" s="16">
        <v>350</v>
      </c>
      <c r="E218" s="16">
        <v>120</v>
      </c>
      <c r="F218" s="5">
        <v>0.65</v>
      </c>
      <c r="G218" s="1" t="s">
        <v>32</v>
      </c>
      <c r="H218" s="1">
        <v>1</v>
      </c>
      <c r="I218" s="1" t="s">
        <v>20</v>
      </c>
      <c r="J218" s="1" t="s">
        <v>135</v>
      </c>
      <c r="K218" s="1" t="s">
        <v>22</v>
      </c>
      <c r="L218" s="1" t="s">
        <v>1244</v>
      </c>
      <c r="M218" s="1" t="s">
        <v>24</v>
      </c>
      <c r="N218" s="18">
        <v>1</v>
      </c>
      <c r="O218" s="1" t="s">
        <v>36</v>
      </c>
      <c r="P218" s="1" t="s">
        <v>38</v>
      </c>
    </row>
    <row r="219" spans="1:16" x14ac:dyDescent="0.3">
      <c r="A219" s="1" t="s">
        <v>773</v>
      </c>
      <c r="B219" s="1" t="s">
        <v>369</v>
      </c>
      <c r="C219" s="1"/>
      <c r="D219" s="16">
        <v>499</v>
      </c>
      <c r="E219" s="16">
        <v>122</v>
      </c>
      <c r="F219" s="5">
        <v>0.75</v>
      </c>
      <c r="G219" s="1" t="s">
        <v>32</v>
      </c>
      <c r="H219" s="1">
        <v>1</v>
      </c>
      <c r="I219" s="1" t="s">
        <v>20</v>
      </c>
      <c r="J219" s="1" t="s">
        <v>43</v>
      </c>
      <c r="K219" s="1" t="s">
        <v>22</v>
      </c>
      <c r="L219" s="1" t="s">
        <v>1244</v>
      </c>
      <c r="M219" s="1" t="s">
        <v>36</v>
      </c>
      <c r="N219" s="18">
        <v>1</v>
      </c>
      <c r="O219" s="1" t="s">
        <v>36</v>
      </c>
      <c r="P219" s="1" t="s">
        <v>73</v>
      </c>
    </row>
    <row r="220" spans="1:16" x14ac:dyDescent="0.3">
      <c r="A220" s="1" t="s">
        <v>774</v>
      </c>
      <c r="B220" s="1" t="s">
        <v>775</v>
      </c>
      <c r="C220" s="1"/>
      <c r="D220" s="16">
        <v>400</v>
      </c>
      <c r="E220" s="16">
        <v>153</v>
      </c>
      <c r="F220" s="5">
        <v>0.61</v>
      </c>
      <c r="G220" s="1" t="s">
        <v>32</v>
      </c>
      <c r="H220" s="1">
        <v>1</v>
      </c>
      <c r="I220" s="1" t="s">
        <v>20</v>
      </c>
      <c r="J220" s="1" t="s">
        <v>98</v>
      </c>
      <c r="K220" s="1" t="s">
        <v>22</v>
      </c>
      <c r="L220" s="1" t="s">
        <v>1244</v>
      </c>
      <c r="M220" s="1" t="s">
        <v>36</v>
      </c>
      <c r="N220" s="18">
        <v>0.2</v>
      </c>
      <c r="O220" s="1" t="s">
        <v>36</v>
      </c>
      <c r="P220" s="1" t="s">
        <v>87</v>
      </c>
    </row>
    <row r="221" spans="1:16" x14ac:dyDescent="0.3">
      <c r="A221" s="1" t="s">
        <v>777</v>
      </c>
      <c r="B221" s="1" t="s">
        <v>778</v>
      </c>
      <c r="C221" s="1"/>
      <c r="D221" s="16">
        <v>386</v>
      </c>
      <c r="E221" s="16">
        <v>125</v>
      </c>
      <c r="F221" s="5">
        <v>0.67</v>
      </c>
      <c r="G221" s="1" t="s">
        <v>32</v>
      </c>
      <c r="H221" s="1">
        <v>1</v>
      </c>
      <c r="I221" s="1" t="s">
        <v>20</v>
      </c>
      <c r="J221" s="1" t="s">
        <v>33</v>
      </c>
      <c r="K221" s="1" t="s">
        <v>34</v>
      </c>
      <c r="L221" s="1" t="s">
        <v>1244</v>
      </c>
      <c r="M221" s="1" t="s">
        <v>36</v>
      </c>
      <c r="N221" s="18">
        <v>2</v>
      </c>
      <c r="O221" s="1" t="s">
        <v>36</v>
      </c>
      <c r="P221" s="1" t="s">
        <v>780</v>
      </c>
    </row>
    <row r="222" spans="1:16" x14ac:dyDescent="0.3">
      <c r="A222" s="1" t="s">
        <v>781</v>
      </c>
      <c r="B222" s="1" t="s">
        <v>782</v>
      </c>
      <c r="C222" s="1"/>
      <c r="D222" s="16">
        <v>599</v>
      </c>
      <c r="E222" s="16">
        <v>130</v>
      </c>
      <c r="F222" s="5">
        <v>0.78</v>
      </c>
      <c r="G222" s="1" t="s">
        <v>32</v>
      </c>
      <c r="H222" s="1">
        <v>1</v>
      </c>
      <c r="I222" s="1" t="s">
        <v>20</v>
      </c>
      <c r="J222" s="1" t="s">
        <v>43</v>
      </c>
      <c r="K222" s="1" t="s">
        <v>34</v>
      </c>
      <c r="L222" s="1" t="s">
        <v>1244</v>
      </c>
      <c r="M222" s="1" t="s">
        <v>36</v>
      </c>
      <c r="N222" s="18">
        <v>2</v>
      </c>
      <c r="O222" s="1" t="s">
        <v>36</v>
      </c>
      <c r="P222" s="1" t="s">
        <v>38</v>
      </c>
    </row>
    <row r="223" spans="1:16" x14ac:dyDescent="0.3">
      <c r="A223" s="1" t="s">
        <v>783</v>
      </c>
      <c r="B223" s="1" t="s">
        <v>784</v>
      </c>
      <c r="C223" s="1"/>
      <c r="D223" s="16">
        <v>449</v>
      </c>
      <c r="E223" s="16">
        <v>249</v>
      </c>
      <c r="F223" s="5">
        <v>0.44</v>
      </c>
      <c r="G223" s="1" t="s">
        <v>32</v>
      </c>
      <c r="H223" s="1">
        <v>1</v>
      </c>
      <c r="I223" s="1" t="s">
        <v>20</v>
      </c>
      <c r="J223" s="1" t="s">
        <v>243</v>
      </c>
      <c r="K223" s="1" t="s">
        <v>211</v>
      </c>
      <c r="L223" s="1" t="s">
        <v>23</v>
      </c>
      <c r="M223" s="1" t="s">
        <v>24</v>
      </c>
      <c r="N223" s="18">
        <v>2</v>
      </c>
      <c r="O223" s="1" t="s">
        <v>24</v>
      </c>
      <c r="P223" s="1" t="s">
        <v>106</v>
      </c>
    </row>
    <row r="224" spans="1:16" x14ac:dyDescent="0.3">
      <c r="A224" s="1" t="s">
        <v>785</v>
      </c>
      <c r="B224" s="1" t="s">
        <v>786</v>
      </c>
      <c r="C224" s="1"/>
      <c r="D224" s="16">
        <v>1500</v>
      </c>
      <c r="E224" s="16">
        <v>125</v>
      </c>
      <c r="F224" s="5">
        <v>0.91</v>
      </c>
      <c r="G224" s="1" t="s">
        <v>32</v>
      </c>
      <c r="H224" s="1">
        <v>1</v>
      </c>
      <c r="I224" s="1" t="s">
        <v>20</v>
      </c>
      <c r="J224" s="1" t="s">
        <v>33</v>
      </c>
      <c r="K224" s="1" t="s">
        <v>22</v>
      </c>
      <c r="L224" s="1" t="s">
        <v>1244</v>
      </c>
      <c r="M224" s="1" t="s">
        <v>36</v>
      </c>
      <c r="N224" s="18">
        <v>2</v>
      </c>
      <c r="O224" s="1" t="s">
        <v>36</v>
      </c>
      <c r="P224" s="1" t="s">
        <v>789</v>
      </c>
    </row>
    <row r="225" spans="1:16" x14ac:dyDescent="0.3">
      <c r="A225" s="1" t="s">
        <v>790</v>
      </c>
      <c r="B225" s="1" t="s">
        <v>791</v>
      </c>
      <c r="C225" s="1"/>
      <c r="D225" s="16">
        <v>489</v>
      </c>
      <c r="E225" s="16">
        <v>128</v>
      </c>
      <c r="F225" s="5">
        <v>0.73</v>
      </c>
      <c r="G225" s="1" t="s">
        <v>19</v>
      </c>
      <c r="H225" s="1">
        <v>2</v>
      </c>
      <c r="I225" s="1" t="s">
        <v>20</v>
      </c>
      <c r="J225" s="1" t="s">
        <v>43</v>
      </c>
      <c r="K225" s="1" t="s">
        <v>34</v>
      </c>
      <c r="L225" s="1" t="s">
        <v>1244</v>
      </c>
      <c r="M225" s="1" t="s">
        <v>36</v>
      </c>
      <c r="N225" s="18">
        <v>2</v>
      </c>
      <c r="O225" s="1" t="s">
        <v>36</v>
      </c>
      <c r="P225" s="1" t="s">
        <v>238</v>
      </c>
    </row>
    <row r="226" spans="1:16" x14ac:dyDescent="0.3">
      <c r="A226" s="1" t="s">
        <v>792</v>
      </c>
      <c r="B226" s="1" t="s">
        <v>793</v>
      </c>
      <c r="C226" s="1"/>
      <c r="D226" s="16">
        <v>399</v>
      </c>
      <c r="E226" s="16">
        <v>147</v>
      </c>
      <c r="F226" s="5">
        <v>0.63</v>
      </c>
      <c r="G226" s="1" t="s">
        <v>32</v>
      </c>
      <c r="H226" s="1">
        <v>1</v>
      </c>
      <c r="I226" s="1" t="s">
        <v>20</v>
      </c>
      <c r="J226" s="1" t="s">
        <v>105</v>
      </c>
      <c r="K226" s="1" t="s">
        <v>22</v>
      </c>
      <c r="L226" s="1" t="s">
        <v>1244</v>
      </c>
      <c r="M226" s="1" t="s">
        <v>24</v>
      </c>
      <c r="N226" s="18">
        <v>1</v>
      </c>
      <c r="O226" s="1" t="s">
        <v>36</v>
      </c>
      <c r="P226" s="1" t="s">
        <v>79</v>
      </c>
    </row>
    <row r="227" spans="1:16" x14ac:dyDescent="0.3">
      <c r="A227" s="1" t="s">
        <v>795</v>
      </c>
      <c r="B227" s="1" t="s">
        <v>796</v>
      </c>
      <c r="C227" s="1"/>
      <c r="D227" s="16">
        <v>349</v>
      </c>
      <c r="E227" s="16">
        <v>219</v>
      </c>
      <c r="F227" s="5">
        <v>0.37</v>
      </c>
      <c r="G227" s="1" t="s">
        <v>32</v>
      </c>
      <c r="H227" s="1">
        <v>1</v>
      </c>
      <c r="I227" s="1" t="s">
        <v>20</v>
      </c>
      <c r="J227" s="1" t="s">
        <v>243</v>
      </c>
      <c r="K227" s="1" t="s">
        <v>34</v>
      </c>
      <c r="L227" s="1" t="s">
        <v>23</v>
      </c>
      <c r="M227" s="1" t="s">
        <v>24</v>
      </c>
      <c r="N227" s="18">
        <v>2</v>
      </c>
      <c r="O227" s="1" t="s">
        <v>24</v>
      </c>
      <c r="P227" s="1" t="s">
        <v>106</v>
      </c>
    </row>
    <row r="228" spans="1:16" x14ac:dyDescent="0.3">
      <c r="A228" s="1" t="s">
        <v>799</v>
      </c>
      <c r="B228" s="1" t="s">
        <v>800</v>
      </c>
      <c r="C228" s="1"/>
      <c r="D228" s="16">
        <v>599</v>
      </c>
      <c r="E228" s="16">
        <v>125</v>
      </c>
      <c r="F228" s="5">
        <v>0.79</v>
      </c>
      <c r="G228" s="1" t="s">
        <v>32</v>
      </c>
      <c r="H228" s="1">
        <v>1</v>
      </c>
      <c r="I228" s="1" t="s">
        <v>20</v>
      </c>
      <c r="J228" s="1" t="s">
        <v>21</v>
      </c>
      <c r="K228" s="1" t="s">
        <v>22</v>
      </c>
      <c r="L228" s="1" t="s">
        <v>1244</v>
      </c>
      <c r="M228" s="1" t="s">
        <v>24</v>
      </c>
      <c r="N228" s="18">
        <v>2</v>
      </c>
      <c r="O228" s="1" t="s">
        <v>36</v>
      </c>
      <c r="P228" s="1" t="s">
        <v>801</v>
      </c>
    </row>
    <row r="229" spans="1:16" x14ac:dyDescent="0.3">
      <c r="A229" s="1" t="s">
        <v>802</v>
      </c>
      <c r="B229" s="1" t="s">
        <v>803</v>
      </c>
      <c r="C229" s="1"/>
      <c r="D229" s="16">
        <v>699</v>
      </c>
      <c r="E229" s="16">
        <v>118</v>
      </c>
      <c r="F229" s="5">
        <v>0.83</v>
      </c>
      <c r="G229" s="1" t="s">
        <v>32</v>
      </c>
      <c r="H229" s="1">
        <v>1</v>
      </c>
      <c r="I229" s="1" t="s">
        <v>20</v>
      </c>
      <c r="J229" s="1" t="s">
        <v>43</v>
      </c>
      <c r="K229" s="1" t="s">
        <v>22</v>
      </c>
      <c r="L229" s="1" t="s">
        <v>1244</v>
      </c>
      <c r="M229" s="1" t="s">
        <v>24</v>
      </c>
      <c r="N229" s="18">
        <v>2</v>
      </c>
      <c r="O229" s="1" t="s">
        <v>36</v>
      </c>
      <c r="P229" s="1" t="s">
        <v>440</v>
      </c>
    </row>
    <row r="230" spans="1:16" x14ac:dyDescent="0.3">
      <c r="A230" s="1" t="s">
        <v>804</v>
      </c>
      <c r="B230" s="1" t="s">
        <v>805</v>
      </c>
      <c r="C230" s="1"/>
      <c r="D230" s="16">
        <v>442</v>
      </c>
      <c r="E230" s="16">
        <v>127</v>
      </c>
      <c r="F230" s="5">
        <v>0.71</v>
      </c>
      <c r="G230" s="1" t="s">
        <v>19</v>
      </c>
      <c r="H230" s="1">
        <v>2</v>
      </c>
      <c r="I230" s="1" t="s">
        <v>20</v>
      </c>
      <c r="J230" s="1" t="s">
        <v>33</v>
      </c>
      <c r="K230" s="1" t="s">
        <v>22</v>
      </c>
      <c r="L230" s="1" t="s">
        <v>1244</v>
      </c>
      <c r="M230" s="1" t="s">
        <v>36</v>
      </c>
      <c r="N230" s="18">
        <v>2</v>
      </c>
      <c r="O230" s="1" t="s">
        <v>36</v>
      </c>
      <c r="P230" s="1" t="s">
        <v>38</v>
      </c>
    </row>
    <row r="231" spans="1:16" x14ac:dyDescent="0.3">
      <c r="A231" s="1" t="s">
        <v>807</v>
      </c>
      <c r="B231" s="1" t="s">
        <v>808</v>
      </c>
      <c r="C231" s="1"/>
      <c r="D231" s="16">
        <v>499</v>
      </c>
      <c r="E231" s="16">
        <v>135</v>
      </c>
      <c r="F231" s="5">
        <v>0.72</v>
      </c>
      <c r="G231" s="1" t="s">
        <v>32</v>
      </c>
      <c r="H231" s="1">
        <v>1</v>
      </c>
      <c r="I231" s="1" t="s">
        <v>20</v>
      </c>
      <c r="J231" s="1" t="s">
        <v>243</v>
      </c>
      <c r="K231" s="1" t="s">
        <v>34</v>
      </c>
      <c r="L231" s="1" t="s">
        <v>23</v>
      </c>
      <c r="M231" s="1" t="s">
        <v>24</v>
      </c>
      <c r="N231" s="18">
        <v>1</v>
      </c>
      <c r="O231" s="1" t="s">
        <v>24</v>
      </c>
      <c r="P231" s="1" t="s">
        <v>73</v>
      </c>
    </row>
    <row r="232" spans="1:16" x14ac:dyDescent="0.3">
      <c r="A232" s="1" t="s">
        <v>809</v>
      </c>
      <c r="B232" s="1" t="s">
        <v>810</v>
      </c>
      <c r="C232" s="1"/>
      <c r="D232" s="16">
        <v>499</v>
      </c>
      <c r="E232" s="16">
        <v>126</v>
      </c>
      <c r="F232" s="5">
        <v>0.74</v>
      </c>
      <c r="G232" s="1" t="s">
        <v>32</v>
      </c>
      <c r="H232" s="1">
        <v>1</v>
      </c>
      <c r="I232" s="1" t="s">
        <v>20</v>
      </c>
      <c r="J232" s="1" t="s">
        <v>33</v>
      </c>
      <c r="K232" s="1" t="s">
        <v>22</v>
      </c>
      <c r="L232" s="1" t="s">
        <v>1244</v>
      </c>
      <c r="M232" s="1" t="s">
        <v>36</v>
      </c>
      <c r="N232" s="18">
        <v>0.5</v>
      </c>
      <c r="O232" s="1" t="s">
        <v>36</v>
      </c>
      <c r="P232" s="1" t="s">
        <v>390</v>
      </c>
    </row>
    <row r="233" spans="1:16" x14ac:dyDescent="0.3">
      <c r="A233" s="1" t="s">
        <v>811</v>
      </c>
      <c r="B233" s="1" t="s">
        <v>812</v>
      </c>
      <c r="C233" s="1"/>
      <c r="D233" s="16">
        <v>499</v>
      </c>
      <c r="E233" s="16">
        <v>125</v>
      </c>
      <c r="F233" s="5">
        <v>0.74</v>
      </c>
      <c r="G233" s="1" t="s">
        <v>32</v>
      </c>
      <c r="H233" s="1">
        <v>1</v>
      </c>
      <c r="I233" s="1" t="s">
        <v>20</v>
      </c>
      <c r="J233" s="1" t="s">
        <v>66</v>
      </c>
      <c r="K233" s="1" t="s">
        <v>34</v>
      </c>
      <c r="L233" s="1" t="s">
        <v>1244</v>
      </c>
      <c r="M233" s="1" t="s">
        <v>24</v>
      </c>
      <c r="N233" s="18">
        <v>0.6</v>
      </c>
      <c r="O233" s="1" t="s">
        <v>36</v>
      </c>
      <c r="P233" s="1" t="s">
        <v>813</v>
      </c>
    </row>
    <row r="234" spans="1:16" x14ac:dyDescent="0.3">
      <c r="A234" s="1" t="s">
        <v>814</v>
      </c>
      <c r="B234" s="1" t="s">
        <v>815</v>
      </c>
      <c r="C234" s="1"/>
      <c r="D234" s="16">
        <v>499</v>
      </c>
      <c r="E234" s="16">
        <v>122</v>
      </c>
      <c r="F234" s="5">
        <v>0.75</v>
      </c>
      <c r="G234" s="1" t="s">
        <v>32</v>
      </c>
      <c r="H234" s="1">
        <v>1</v>
      </c>
      <c r="I234" s="1" t="s">
        <v>20</v>
      </c>
      <c r="J234" s="1" t="s">
        <v>66</v>
      </c>
      <c r="K234" s="1" t="s">
        <v>22</v>
      </c>
      <c r="L234" s="1" t="s">
        <v>1244</v>
      </c>
      <c r="M234" s="1" t="s">
        <v>36</v>
      </c>
      <c r="N234" s="18">
        <v>1</v>
      </c>
      <c r="O234" s="1" t="s">
        <v>36</v>
      </c>
      <c r="P234" s="1" t="s">
        <v>216</v>
      </c>
    </row>
    <row r="235" spans="1:16" x14ac:dyDescent="0.3">
      <c r="A235" s="1" t="s">
        <v>817</v>
      </c>
      <c r="B235" s="1" t="s">
        <v>818</v>
      </c>
      <c r="C235" s="1"/>
      <c r="D235" s="16">
        <v>890</v>
      </c>
      <c r="E235" s="16">
        <v>144</v>
      </c>
      <c r="F235" s="5">
        <v>0.83</v>
      </c>
      <c r="G235" s="1" t="s">
        <v>19</v>
      </c>
      <c r="H235" s="1">
        <v>2</v>
      </c>
      <c r="I235" s="1" t="s">
        <v>20</v>
      </c>
      <c r="J235" s="1" t="s">
        <v>98</v>
      </c>
      <c r="K235" s="1" t="s">
        <v>34</v>
      </c>
      <c r="L235" s="1" t="s">
        <v>1244</v>
      </c>
      <c r="M235" s="1" t="s">
        <v>36</v>
      </c>
      <c r="N235" s="18">
        <v>2</v>
      </c>
      <c r="O235" s="1" t="s">
        <v>36</v>
      </c>
      <c r="P235" s="1" t="s">
        <v>821</v>
      </c>
    </row>
    <row r="236" spans="1:16" x14ac:dyDescent="0.3">
      <c r="A236" s="1" t="s">
        <v>822</v>
      </c>
      <c r="B236" s="1" t="s">
        <v>823</v>
      </c>
      <c r="C236" s="1"/>
      <c r="D236" s="16">
        <v>499</v>
      </c>
      <c r="E236" s="16">
        <v>135</v>
      </c>
      <c r="F236" s="5">
        <v>0.72</v>
      </c>
      <c r="G236" s="1" t="s">
        <v>19</v>
      </c>
      <c r="H236" s="1">
        <v>2</v>
      </c>
      <c r="I236" s="1" t="s">
        <v>20</v>
      </c>
      <c r="J236" s="1" t="s">
        <v>43</v>
      </c>
      <c r="K236" s="1" t="s">
        <v>22</v>
      </c>
      <c r="L236" s="1" t="s">
        <v>1244</v>
      </c>
      <c r="M236" s="1" t="s">
        <v>24</v>
      </c>
      <c r="N236" s="18">
        <v>1</v>
      </c>
      <c r="O236" s="1" t="s">
        <v>36</v>
      </c>
      <c r="P236" s="1" t="s">
        <v>112</v>
      </c>
    </row>
    <row r="237" spans="1:16" x14ac:dyDescent="0.3">
      <c r="A237" s="1" t="s">
        <v>824</v>
      </c>
      <c r="B237" s="1" t="s">
        <v>825</v>
      </c>
      <c r="C237" s="1"/>
      <c r="D237" s="16">
        <v>399</v>
      </c>
      <c r="E237" s="16">
        <v>122</v>
      </c>
      <c r="F237" s="5">
        <v>0.69</v>
      </c>
      <c r="G237" s="1" t="s">
        <v>19</v>
      </c>
      <c r="H237" s="1">
        <v>2</v>
      </c>
      <c r="I237" s="1" t="s">
        <v>20</v>
      </c>
      <c r="J237" s="1" t="s">
        <v>43</v>
      </c>
      <c r="K237" s="1" t="s">
        <v>22</v>
      </c>
      <c r="L237" s="1" t="s">
        <v>1244</v>
      </c>
      <c r="M237" s="1" t="s">
        <v>24</v>
      </c>
      <c r="N237" s="18">
        <v>2</v>
      </c>
      <c r="O237" s="1" t="s">
        <v>36</v>
      </c>
      <c r="P237" s="1" t="s">
        <v>826</v>
      </c>
    </row>
    <row r="238" spans="1:16" x14ac:dyDescent="0.3">
      <c r="A238" s="1" t="s">
        <v>827</v>
      </c>
      <c r="B238" s="1" t="s">
        <v>828</v>
      </c>
      <c r="C238" s="1"/>
      <c r="D238" s="16">
        <v>190</v>
      </c>
      <c r="E238" s="16">
        <v>135</v>
      </c>
      <c r="F238" s="5">
        <v>0.28000000000000003</v>
      </c>
      <c r="G238" s="1" t="s">
        <v>19</v>
      </c>
      <c r="H238" s="1">
        <v>2</v>
      </c>
      <c r="I238" s="1" t="s">
        <v>20</v>
      </c>
      <c r="J238" s="1" t="s">
        <v>43</v>
      </c>
      <c r="K238" s="1" t="s">
        <v>34</v>
      </c>
      <c r="L238" s="1" t="s">
        <v>1244</v>
      </c>
      <c r="M238" s="1" t="s">
        <v>24</v>
      </c>
      <c r="N238" s="18">
        <v>2</v>
      </c>
      <c r="O238" s="1" t="s">
        <v>36</v>
      </c>
      <c r="P238" s="1" t="s">
        <v>831</v>
      </c>
    </row>
    <row r="239" spans="1:16" x14ac:dyDescent="0.3">
      <c r="A239" s="1" t="s">
        <v>832</v>
      </c>
      <c r="B239" s="1" t="s">
        <v>833</v>
      </c>
      <c r="C239" s="1"/>
      <c r="D239" s="16">
        <v>1599</v>
      </c>
      <c r="E239" s="16">
        <v>749</v>
      </c>
      <c r="F239" s="5">
        <v>0.53</v>
      </c>
      <c r="G239" s="1" t="s">
        <v>32</v>
      </c>
      <c r="H239" s="1">
        <v>1</v>
      </c>
      <c r="I239" s="1" t="s">
        <v>20</v>
      </c>
      <c r="J239" s="1" t="s">
        <v>105</v>
      </c>
      <c r="K239" s="1" t="s">
        <v>34</v>
      </c>
      <c r="L239" s="1" t="s">
        <v>23</v>
      </c>
      <c r="M239" s="1" t="s">
        <v>24</v>
      </c>
      <c r="N239" s="18">
        <v>2</v>
      </c>
      <c r="O239" s="1" t="s">
        <v>24</v>
      </c>
      <c r="P239" s="1" t="s">
        <v>835</v>
      </c>
    </row>
    <row r="240" spans="1:16" x14ac:dyDescent="0.3">
      <c r="A240" s="1" t="s">
        <v>836</v>
      </c>
      <c r="B240" s="1" t="s">
        <v>837</v>
      </c>
      <c r="C240" s="1"/>
      <c r="D240" s="16">
        <v>1033</v>
      </c>
      <c r="E240" s="16">
        <v>139</v>
      </c>
      <c r="F240" s="5">
        <v>0.86</v>
      </c>
      <c r="G240" s="1" t="s">
        <v>32</v>
      </c>
      <c r="H240" s="1">
        <v>1</v>
      </c>
      <c r="I240" s="1" t="s">
        <v>20</v>
      </c>
      <c r="J240" s="1" t="s">
        <v>66</v>
      </c>
      <c r="K240" s="1" t="s">
        <v>34</v>
      </c>
      <c r="L240" s="1" t="s">
        <v>1244</v>
      </c>
      <c r="M240" s="1" t="s">
        <v>36</v>
      </c>
      <c r="N240" s="18">
        <v>2</v>
      </c>
      <c r="O240" s="1" t="s">
        <v>24</v>
      </c>
      <c r="P240" s="1" t="s">
        <v>840</v>
      </c>
    </row>
    <row r="241" spans="1:16" x14ac:dyDescent="0.3">
      <c r="A241" s="1" t="s">
        <v>841</v>
      </c>
      <c r="B241" s="1" t="s">
        <v>223</v>
      </c>
      <c r="C241" s="1"/>
      <c r="D241" s="16">
        <v>599</v>
      </c>
      <c r="E241" s="16">
        <v>127</v>
      </c>
      <c r="F241" s="5">
        <v>0.78</v>
      </c>
      <c r="G241" s="1" t="s">
        <v>32</v>
      </c>
      <c r="H241" s="1">
        <v>1</v>
      </c>
      <c r="I241" s="1" t="s">
        <v>20</v>
      </c>
      <c r="J241" s="1" t="s">
        <v>33</v>
      </c>
      <c r="K241" s="1" t="s">
        <v>34</v>
      </c>
      <c r="L241" s="1" t="s">
        <v>1244</v>
      </c>
      <c r="M241" s="1" t="s">
        <v>36</v>
      </c>
      <c r="N241" s="18">
        <v>2</v>
      </c>
      <c r="O241" s="1" t="s">
        <v>36</v>
      </c>
      <c r="P241" s="1" t="s">
        <v>38</v>
      </c>
    </row>
    <row r="242" spans="1:16" x14ac:dyDescent="0.3">
      <c r="A242" s="1" t="s">
        <v>842</v>
      </c>
      <c r="B242" s="1" t="s">
        <v>476</v>
      </c>
      <c r="C242" s="1"/>
      <c r="D242" s="16">
        <v>699</v>
      </c>
      <c r="E242" s="16">
        <v>199</v>
      </c>
      <c r="F242" s="5">
        <v>0.71</v>
      </c>
      <c r="G242" s="1" t="s">
        <v>19</v>
      </c>
      <c r="H242" s="1">
        <v>2</v>
      </c>
      <c r="I242" s="1" t="s">
        <v>20</v>
      </c>
      <c r="J242" s="1" t="s">
        <v>98</v>
      </c>
      <c r="K242" s="1" t="s">
        <v>22</v>
      </c>
      <c r="L242" s="1" t="s">
        <v>1244</v>
      </c>
      <c r="M242" s="1" t="s">
        <v>36</v>
      </c>
      <c r="N242" s="18">
        <v>10</v>
      </c>
      <c r="O242" s="1" t="s">
        <v>36</v>
      </c>
      <c r="P242" s="1" t="s">
        <v>180</v>
      </c>
    </row>
    <row r="243" spans="1:16" x14ac:dyDescent="0.3">
      <c r="A243" s="1" t="s">
        <v>843</v>
      </c>
      <c r="B243" s="1" t="s">
        <v>844</v>
      </c>
      <c r="C243" s="1"/>
      <c r="D243" s="16">
        <v>349</v>
      </c>
      <c r="E243" s="16">
        <v>122</v>
      </c>
      <c r="F243" s="5">
        <v>0.65</v>
      </c>
      <c r="G243" s="1" t="s">
        <v>19</v>
      </c>
      <c r="H243" s="1">
        <v>2</v>
      </c>
      <c r="I243" s="1" t="s">
        <v>20</v>
      </c>
      <c r="J243" s="1" t="s">
        <v>33</v>
      </c>
      <c r="K243" s="1" t="s">
        <v>34</v>
      </c>
      <c r="L243" s="1" t="s">
        <v>1244</v>
      </c>
      <c r="M243" s="1" t="s">
        <v>36</v>
      </c>
      <c r="N243" s="18">
        <v>2</v>
      </c>
      <c r="O243" s="1" t="s">
        <v>36</v>
      </c>
      <c r="P243" s="1" t="s">
        <v>845</v>
      </c>
    </row>
    <row r="244" spans="1:16" x14ac:dyDescent="0.3">
      <c r="A244" s="1" t="s">
        <v>846</v>
      </c>
      <c r="B244" s="1" t="s">
        <v>847</v>
      </c>
      <c r="C244" s="1"/>
      <c r="D244" s="16">
        <v>399</v>
      </c>
      <c r="E244" s="16">
        <v>157</v>
      </c>
      <c r="F244" s="5">
        <v>0.6</v>
      </c>
      <c r="G244" s="1" t="s">
        <v>19</v>
      </c>
      <c r="H244" s="1">
        <v>2</v>
      </c>
      <c r="I244" s="1" t="s">
        <v>20</v>
      </c>
      <c r="J244" s="1" t="s">
        <v>43</v>
      </c>
      <c r="K244" s="1" t="s">
        <v>22</v>
      </c>
      <c r="L244" s="1" t="s">
        <v>1244</v>
      </c>
      <c r="M244" s="1" t="s">
        <v>36</v>
      </c>
      <c r="N244" s="18">
        <v>2</v>
      </c>
      <c r="O244" s="1" t="s">
        <v>36</v>
      </c>
      <c r="P244" s="1" t="s">
        <v>57</v>
      </c>
    </row>
    <row r="245" spans="1:16" x14ac:dyDescent="0.3">
      <c r="A245" s="1" t="s">
        <v>850</v>
      </c>
      <c r="B245" s="1" t="s">
        <v>851</v>
      </c>
      <c r="C245" s="1"/>
      <c r="D245" s="16">
        <v>599</v>
      </c>
      <c r="E245" s="16">
        <v>113</v>
      </c>
      <c r="F245" s="5">
        <v>0.81</v>
      </c>
      <c r="G245" s="1" t="s">
        <v>19</v>
      </c>
      <c r="H245" s="1">
        <v>2</v>
      </c>
      <c r="I245" s="1" t="s">
        <v>20</v>
      </c>
      <c r="J245" s="1" t="s">
        <v>243</v>
      </c>
      <c r="K245" s="1" t="s">
        <v>22</v>
      </c>
      <c r="L245" s="1" t="s">
        <v>1244</v>
      </c>
      <c r="M245" s="1" t="s">
        <v>36</v>
      </c>
      <c r="N245" s="18">
        <v>2</v>
      </c>
      <c r="O245" s="1" t="s">
        <v>24</v>
      </c>
      <c r="P245" s="1" t="s">
        <v>801</v>
      </c>
    </row>
    <row r="246" spans="1:16" x14ac:dyDescent="0.3">
      <c r="A246" s="1" t="s">
        <v>853</v>
      </c>
      <c r="B246" s="1" t="s">
        <v>782</v>
      </c>
      <c r="C246" s="1"/>
      <c r="D246" s="16">
        <v>599</v>
      </c>
      <c r="E246" s="16">
        <v>125</v>
      </c>
      <c r="F246" s="5">
        <v>0.79</v>
      </c>
      <c r="G246" s="1" t="s">
        <v>32</v>
      </c>
      <c r="H246" s="1">
        <v>1</v>
      </c>
      <c r="I246" s="1" t="s">
        <v>20</v>
      </c>
      <c r="J246" s="1" t="s">
        <v>243</v>
      </c>
      <c r="K246" s="1" t="s">
        <v>34</v>
      </c>
      <c r="L246" s="1" t="s">
        <v>1244</v>
      </c>
      <c r="M246" s="1" t="s">
        <v>36</v>
      </c>
      <c r="N246" s="18">
        <v>2</v>
      </c>
      <c r="O246" s="1" t="s">
        <v>36</v>
      </c>
      <c r="P246" s="1" t="s">
        <v>38</v>
      </c>
    </row>
    <row r="247" spans="1:16" x14ac:dyDescent="0.3">
      <c r="A247" s="1" t="s">
        <v>854</v>
      </c>
      <c r="B247" s="1" t="s">
        <v>784</v>
      </c>
      <c r="C247" s="1"/>
      <c r="D247" s="16">
        <v>349</v>
      </c>
      <c r="E247" s="16">
        <v>189</v>
      </c>
      <c r="F247" s="5">
        <v>0.45</v>
      </c>
      <c r="G247" s="1" t="s">
        <v>32</v>
      </c>
      <c r="H247" s="1">
        <v>1</v>
      </c>
      <c r="I247" s="1" t="s">
        <v>20</v>
      </c>
      <c r="J247" s="1" t="s">
        <v>243</v>
      </c>
      <c r="K247" s="1" t="s">
        <v>34</v>
      </c>
      <c r="L247" s="1" t="s">
        <v>23</v>
      </c>
      <c r="M247" s="1" t="s">
        <v>24</v>
      </c>
      <c r="N247" s="18">
        <v>2</v>
      </c>
      <c r="O247" s="1" t="s">
        <v>24</v>
      </c>
      <c r="P247" s="1" t="s">
        <v>106</v>
      </c>
    </row>
    <row r="248" spans="1:16" x14ac:dyDescent="0.3">
      <c r="A248" s="1" t="s">
        <v>856</v>
      </c>
      <c r="B248" s="1" t="s">
        <v>857</v>
      </c>
      <c r="C248" s="1"/>
      <c r="D248" s="16">
        <v>599</v>
      </c>
      <c r="E248" s="16">
        <v>169</v>
      </c>
      <c r="F248" s="5">
        <v>0.71</v>
      </c>
      <c r="G248" s="1" t="s">
        <v>19</v>
      </c>
      <c r="H248" s="1">
        <v>2</v>
      </c>
      <c r="I248" s="1" t="s">
        <v>20</v>
      </c>
      <c r="J248" s="1" t="s">
        <v>322</v>
      </c>
      <c r="K248" s="1" t="s">
        <v>22</v>
      </c>
      <c r="L248" s="1" t="s">
        <v>1244</v>
      </c>
      <c r="M248" s="1" t="s">
        <v>24</v>
      </c>
      <c r="N248" s="18">
        <v>2</v>
      </c>
      <c r="O248" s="1" t="s">
        <v>36</v>
      </c>
      <c r="P248" s="1" t="s">
        <v>858</v>
      </c>
    </row>
    <row r="249" spans="1:16" x14ac:dyDescent="0.3">
      <c r="A249" s="1" t="s">
        <v>859</v>
      </c>
      <c r="B249" s="1" t="s">
        <v>860</v>
      </c>
      <c r="C249" s="1"/>
      <c r="D249" s="16">
        <v>299</v>
      </c>
      <c r="E249" s="16">
        <v>185</v>
      </c>
      <c r="F249" s="5">
        <v>0.38</v>
      </c>
      <c r="G249" s="1" t="s">
        <v>19</v>
      </c>
      <c r="H249" s="1">
        <v>2</v>
      </c>
      <c r="I249" s="1" t="s">
        <v>20</v>
      </c>
      <c r="J249" s="1" t="s">
        <v>66</v>
      </c>
      <c r="K249" s="1" t="s">
        <v>211</v>
      </c>
      <c r="L249" s="1" t="s">
        <v>1244</v>
      </c>
      <c r="M249" s="1" t="s">
        <v>24</v>
      </c>
      <c r="N249" s="18">
        <v>0.5</v>
      </c>
      <c r="O249" s="1" t="s">
        <v>24</v>
      </c>
      <c r="P249" s="1" t="s">
        <v>213</v>
      </c>
    </row>
    <row r="250" spans="1:16" x14ac:dyDescent="0.3">
      <c r="A250" s="1" t="s">
        <v>861</v>
      </c>
      <c r="B250" s="1" t="s">
        <v>862</v>
      </c>
      <c r="C250" s="1"/>
      <c r="D250" s="16">
        <v>489</v>
      </c>
      <c r="E250" s="16">
        <v>189</v>
      </c>
      <c r="F250" s="5">
        <v>0.61</v>
      </c>
      <c r="G250" s="1" t="s">
        <v>32</v>
      </c>
      <c r="H250" s="1">
        <v>1</v>
      </c>
      <c r="I250" s="1" t="s">
        <v>20</v>
      </c>
      <c r="J250" s="1" t="s">
        <v>43</v>
      </c>
      <c r="K250" s="1" t="s">
        <v>22</v>
      </c>
      <c r="L250" s="1" t="s">
        <v>1244</v>
      </c>
      <c r="M250" s="1" t="s">
        <v>24</v>
      </c>
      <c r="N250" s="18">
        <v>1</v>
      </c>
      <c r="O250" s="1" t="s">
        <v>36</v>
      </c>
      <c r="P250" s="1" t="s">
        <v>87</v>
      </c>
    </row>
    <row r="251" spans="1:16" x14ac:dyDescent="0.3">
      <c r="A251" s="1" t="s">
        <v>863</v>
      </c>
      <c r="B251" s="1" t="s">
        <v>864</v>
      </c>
      <c r="C251" s="1"/>
      <c r="D251" s="16">
        <v>299</v>
      </c>
      <c r="E251" s="16">
        <v>115</v>
      </c>
      <c r="F251" s="5">
        <v>0.61</v>
      </c>
      <c r="G251" s="1" t="s">
        <v>32</v>
      </c>
      <c r="H251" s="1">
        <v>1</v>
      </c>
      <c r="I251" s="1" t="s">
        <v>20</v>
      </c>
      <c r="J251" s="1" t="s">
        <v>33</v>
      </c>
      <c r="K251" s="1" t="s">
        <v>34</v>
      </c>
      <c r="L251" s="1" t="s">
        <v>1244</v>
      </c>
      <c r="M251" s="1" t="s">
        <v>36</v>
      </c>
      <c r="N251" s="18">
        <v>2</v>
      </c>
      <c r="O251" s="1" t="s">
        <v>36</v>
      </c>
      <c r="P251" s="1" t="s">
        <v>865</v>
      </c>
    </row>
    <row r="252" spans="1:16" x14ac:dyDescent="0.3">
      <c r="A252" s="1" t="s">
        <v>866</v>
      </c>
      <c r="B252" s="1" t="s">
        <v>867</v>
      </c>
      <c r="C252" s="1"/>
      <c r="D252" s="16">
        <v>499</v>
      </c>
      <c r="E252" s="16">
        <v>134</v>
      </c>
      <c r="F252" s="5">
        <v>0.73</v>
      </c>
      <c r="G252" s="1" t="s">
        <v>19</v>
      </c>
      <c r="H252" s="1">
        <v>2</v>
      </c>
      <c r="I252" s="1" t="s">
        <v>20</v>
      </c>
      <c r="J252" s="1" t="s">
        <v>43</v>
      </c>
      <c r="K252" s="1" t="s">
        <v>22</v>
      </c>
      <c r="L252" s="1" t="s">
        <v>1244</v>
      </c>
      <c r="M252" s="1" t="s">
        <v>24</v>
      </c>
      <c r="N252" s="18">
        <v>2</v>
      </c>
      <c r="O252" s="1" t="s">
        <v>36</v>
      </c>
      <c r="P252" s="1" t="s">
        <v>858</v>
      </c>
    </row>
    <row r="253" spans="1:16" x14ac:dyDescent="0.3">
      <c r="A253" s="1" t="s">
        <v>868</v>
      </c>
      <c r="B253" s="1" t="s">
        <v>869</v>
      </c>
      <c r="C253" s="1"/>
      <c r="D253" s="16">
        <v>200</v>
      </c>
      <c r="E253" s="16">
        <v>149</v>
      </c>
      <c r="F253" s="5">
        <v>0.25</v>
      </c>
      <c r="G253" s="1" t="s">
        <v>32</v>
      </c>
      <c r="H253" s="1">
        <v>1</v>
      </c>
      <c r="I253" s="1" t="s">
        <v>20</v>
      </c>
      <c r="J253" s="1" t="s">
        <v>33</v>
      </c>
      <c r="K253" s="1" t="s">
        <v>22</v>
      </c>
      <c r="L253" s="1" t="s">
        <v>1244</v>
      </c>
      <c r="M253" s="1" t="s">
        <v>36</v>
      </c>
      <c r="N253" s="18">
        <v>2</v>
      </c>
      <c r="O253" s="1" t="s">
        <v>36</v>
      </c>
      <c r="P253" s="1" t="s">
        <v>720</v>
      </c>
    </row>
    <row r="254" spans="1:16" x14ac:dyDescent="0.3">
      <c r="A254" s="1" t="s">
        <v>872</v>
      </c>
      <c r="B254" s="1" t="s">
        <v>873</v>
      </c>
      <c r="C254" s="1"/>
      <c r="D254" s="16">
        <v>789</v>
      </c>
      <c r="E254" s="16">
        <v>270</v>
      </c>
      <c r="F254" s="5">
        <v>0.65</v>
      </c>
      <c r="G254" s="1" t="s">
        <v>32</v>
      </c>
      <c r="H254" s="1">
        <v>1</v>
      </c>
      <c r="I254" s="1" t="s">
        <v>20</v>
      </c>
      <c r="J254" s="1" t="s">
        <v>43</v>
      </c>
      <c r="K254" s="1" t="s">
        <v>22</v>
      </c>
      <c r="L254" s="1" t="s">
        <v>1244</v>
      </c>
      <c r="M254" s="1" t="s">
        <v>24</v>
      </c>
      <c r="N254" s="18">
        <v>2</v>
      </c>
      <c r="O254" s="1" t="s">
        <v>36</v>
      </c>
      <c r="P254" s="1" t="s">
        <v>87</v>
      </c>
    </row>
    <row r="255" spans="1:16" x14ac:dyDescent="0.3">
      <c r="A255" s="1" t="s">
        <v>875</v>
      </c>
      <c r="B255" s="1" t="s">
        <v>876</v>
      </c>
      <c r="C255" s="1"/>
      <c r="D255" s="16">
        <v>499</v>
      </c>
      <c r="E255" s="16">
        <v>125</v>
      </c>
      <c r="F255" s="5">
        <v>0.74</v>
      </c>
      <c r="G255" s="1" t="s">
        <v>19</v>
      </c>
      <c r="H255" s="1">
        <v>2</v>
      </c>
      <c r="I255" s="1" t="s">
        <v>20</v>
      </c>
      <c r="J255" s="1" t="s">
        <v>43</v>
      </c>
      <c r="K255" s="1" t="s">
        <v>22</v>
      </c>
      <c r="L255" s="1" t="s">
        <v>1244</v>
      </c>
      <c r="M255" s="1" t="s">
        <v>36</v>
      </c>
      <c r="N255" s="18">
        <v>0.2</v>
      </c>
      <c r="O255" s="1" t="s">
        <v>36</v>
      </c>
      <c r="P255" s="1" t="s">
        <v>877</v>
      </c>
    </row>
    <row r="256" spans="1:16" x14ac:dyDescent="0.3">
      <c r="A256" s="1" t="s">
        <v>878</v>
      </c>
      <c r="B256" s="1" t="s">
        <v>879</v>
      </c>
      <c r="C256" s="1"/>
      <c r="D256" s="16">
        <v>1000</v>
      </c>
      <c r="E256" s="16">
        <v>143</v>
      </c>
      <c r="F256" s="5">
        <v>0.85</v>
      </c>
      <c r="G256" s="1" t="s">
        <v>32</v>
      </c>
      <c r="H256" s="1">
        <v>1</v>
      </c>
      <c r="I256" s="1" t="s">
        <v>20</v>
      </c>
      <c r="J256" s="1" t="s">
        <v>66</v>
      </c>
      <c r="K256" s="1" t="s">
        <v>22</v>
      </c>
      <c r="L256" s="1" t="s">
        <v>1244</v>
      </c>
      <c r="M256" s="1" t="s">
        <v>36</v>
      </c>
      <c r="N256" s="18">
        <v>2</v>
      </c>
      <c r="O256" s="1" t="s">
        <v>36</v>
      </c>
      <c r="P256" s="1" t="s">
        <v>840</v>
      </c>
    </row>
    <row r="257" spans="1:16" x14ac:dyDescent="0.3">
      <c r="A257" s="1" t="s">
        <v>881</v>
      </c>
      <c r="B257" s="1" t="s">
        <v>882</v>
      </c>
      <c r="C257" s="1"/>
      <c r="D257" s="16">
        <v>499</v>
      </c>
      <c r="E257" s="16">
        <v>159</v>
      </c>
      <c r="F257" s="5">
        <v>0.68</v>
      </c>
      <c r="G257" s="1" t="s">
        <v>32</v>
      </c>
      <c r="H257" s="1">
        <v>1</v>
      </c>
      <c r="I257" s="1" t="s">
        <v>20</v>
      </c>
      <c r="J257" s="1" t="s">
        <v>33</v>
      </c>
      <c r="K257" s="1" t="s">
        <v>34</v>
      </c>
      <c r="L257" s="1" t="s">
        <v>1244</v>
      </c>
      <c r="M257" s="1" t="s">
        <v>36</v>
      </c>
      <c r="N257" s="18">
        <v>2</v>
      </c>
      <c r="O257" s="1" t="s">
        <v>36</v>
      </c>
      <c r="P257" s="1" t="s">
        <v>550</v>
      </c>
    </row>
    <row r="258" spans="1:16" x14ac:dyDescent="0.3">
      <c r="A258" s="1" t="s">
        <v>884</v>
      </c>
      <c r="B258" s="1" t="s">
        <v>885</v>
      </c>
      <c r="C258" s="1"/>
      <c r="D258" s="16">
        <v>999</v>
      </c>
      <c r="E258" s="16">
        <v>299</v>
      </c>
      <c r="F258" s="5">
        <v>0.7</v>
      </c>
      <c r="G258" s="1" t="s">
        <v>19</v>
      </c>
      <c r="H258" s="1">
        <v>2</v>
      </c>
      <c r="I258" s="1" t="s">
        <v>20</v>
      </c>
      <c r="J258" s="1" t="s">
        <v>105</v>
      </c>
      <c r="K258" s="1" t="s">
        <v>22</v>
      </c>
      <c r="L258" s="1" t="s">
        <v>23</v>
      </c>
      <c r="M258" s="1" t="s">
        <v>36</v>
      </c>
      <c r="N258" s="18">
        <v>10</v>
      </c>
      <c r="O258" s="1" t="s">
        <v>36</v>
      </c>
      <c r="P258" s="1" t="s">
        <v>180</v>
      </c>
    </row>
    <row r="259" spans="1:16" x14ac:dyDescent="0.3">
      <c r="A259" s="1" t="s">
        <v>886</v>
      </c>
      <c r="B259" s="1" t="s">
        <v>887</v>
      </c>
      <c r="C259" s="1"/>
      <c r="D259" s="16">
        <v>200</v>
      </c>
      <c r="E259" s="16">
        <v>135</v>
      </c>
      <c r="F259" s="5">
        <v>0.32</v>
      </c>
      <c r="G259" s="1" t="s">
        <v>32</v>
      </c>
      <c r="H259" s="1">
        <v>1</v>
      </c>
      <c r="I259" s="1" t="s">
        <v>20</v>
      </c>
      <c r="J259" s="1" t="s">
        <v>105</v>
      </c>
      <c r="K259" s="1" t="s">
        <v>22</v>
      </c>
      <c r="L259" s="1" t="s">
        <v>1244</v>
      </c>
      <c r="M259" s="1" t="s">
        <v>36</v>
      </c>
      <c r="N259" s="18">
        <v>0.6</v>
      </c>
      <c r="O259" s="1" t="s">
        <v>36</v>
      </c>
      <c r="P259" s="1" t="s">
        <v>602</v>
      </c>
    </row>
    <row r="260" spans="1:16" x14ac:dyDescent="0.3">
      <c r="A260" s="1" t="s">
        <v>888</v>
      </c>
      <c r="B260" s="1" t="s">
        <v>889</v>
      </c>
      <c r="C260" s="1"/>
      <c r="D260" s="16">
        <v>595</v>
      </c>
      <c r="E260" s="16">
        <v>137</v>
      </c>
      <c r="F260" s="5">
        <v>0.76</v>
      </c>
      <c r="G260" s="1" t="s">
        <v>32</v>
      </c>
      <c r="H260" s="1">
        <v>1</v>
      </c>
      <c r="I260" s="1" t="s">
        <v>20</v>
      </c>
      <c r="J260" s="1" t="s">
        <v>33</v>
      </c>
      <c r="K260" s="1" t="s">
        <v>22</v>
      </c>
      <c r="L260" s="1" t="s">
        <v>1244</v>
      </c>
      <c r="M260" s="1" t="s">
        <v>24</v>
      </c>
      <c r="N260" s="18">
        <v>2</v>
      </c>
      <c r="O260" s="1" t="s">
        <v>36</v>
      </c>
      <c r="P260" s="1" t="s">
        <v>891</v>
      </c>
    </row>
    <row r="261" spans="1:16" x14ac:dyDescent="0.3">
      <c r="A261" s="1" t="s">
        <v>892</v>
      </c>
      <c r="B261" s="1" t="s">
        <v>893</v>
      </c>
      <c r="C261" s="1"/>
      <c r="D261" s="16">
        <v>599</v>
      </c>
      <c r="E261" s="16">
        <v>299</v>
      </c>
      <c r="F261" s="5">
        <v>0.5</v>
      </c>
      <c r="G261" s="1" t="s">
        <v>32</v>
      </c>
      <c r="H261" s="1">
        <v>1</v>
      </c>
      <c r="I261" s="1" t="s">
        <v>20</v>
      </c>
      <c r="J261" s="1" t="s">
        <v>243</v>
      </c>
      <c r="K261" s="1" t="s">
        <v>211</v>
      </c>
      <c r="L261" s="1" t="s">
        <v>23</v>
      </c>
      <c r="M261" s="1" t="s">
        <v>24</v>
      </c>
      <c r="N261" s="18">
        <v>2</v>
      </c>
      <c r="O261" s="1" t="s">
        <v>24</v>
      </c>
      <c r="P261" s="1" t="s">
        <v>106</v>
      </c>
    </row>
    <row r="262" spans="1:16" x14ac:dyDescent="0.3">
      <c r="A262" s="1" t="s">
        <v>894</v>
      </c>
      <c r="B262" s="1" t="s">
        <v>895</v>
      </c>
      <c r="C262" s="1"/>
      <c r="D262" s="16">
        <v>499</v>
      </c>
      <c r="E262" s="16">
        <v>129</v>
      </c>
      <c r="F262" s="5">
        <v>0.74</v>
      </c>
      <c r="G262" s="1" t="s">
        <v>19</v>
      </c>
      <c r="H262" s="1">
        <v>2</v>
      </c>
      <c r="I262" s="1" t="s">
        <v>20</v>
      </c>
      <c r="J262" s="1" t="s">
        <v>135</v>
      </c>
      <c r="K262" s="1" t="s">
        <v>34</v>
      </c>
      <c r="L262" s="1" t="s">
        <v>23</v>
      </c>
      <c r="M262" s="1" t="s">
        <v>24</v>
      </c>
      <c r="N262" s="18">
        <v>1</v>
      </c>
      <c r="O262" s="1" t="s">
        <v>24</v>
      </c>
      <c r="P262" s="1" t="s">
        <v>221</v>
      </c>
    </row>
    <row r="263" spans="1:16" x14ac:dyDescent="0.3">
      <c r="A263" s="1" t="s">
        <v>896</v>
      </c>
      <c r="B263" s="1" t="s">
        <v>897</v>
      </c>
      <c r="C263" s="1"/>
      <c r="D263" s="16">
        <v>449</v>
      </c>
      <c r="E263" s="16">
        <v>125</v>
      </c>
      <c r="F263" s="5">
        <v>0.72</v>
      </c>
      <c r="G263" s="1" t="s">
        <v>19</v>
      </c>
      <c r="H263" s="1">
        <v>2</v>
      </c>
      <c r="I263" s="1" t="s">
        <v>20</v>
      </c>
      <c r="J263" s="1" t="s">
        <v>322</v>
      </c>
      <c r="K263" s="1" t="s">
        <v>22</v>
      </c>
      <c r="L263" s="1" t="s">
        <v>1244</v>
      </c>
      <c r="M263" s="1" t="s">
        <v>24</v>
      </c>
      <c r="N263" s="18">
        <v>2</v>
      </c>
      <c r="O263" s="1" t="s">
        <v>24</v>
      </c>
      <c r="P263" s="1" t="s">
        <v>538</v>
      </c>
    </row>
    <row r="264" spans="1:16" x14ac:dyDescent="0.3">
      <c r="A264" s="1" t="s">
        <v>898</v>
      </c>
      <c r="B264" s="1" t="s">
        <v>899</v>
      </c>
      <c r="C264" s="1"/>
      <c r="D264" s="16">
        <v>425</v>
      </c>
      <c r="E264" s="16">
        <v>275</v>
      </c>
      <c r="F264" s="5">
        <v>0.35</v>
      </c>
      <c r="G264" s="1" t="s">
        <v>32</v>
      </c>
      <c r="H264" s="1">
        <v>1</v>
      </c>
      <c r="I264" s="1" t="s">
        <v>20</v>
      </c>
      <c r="J264" s="1" t="s">
        <v>33</v>
      </c>
      <c r="K264" s="1" t="s">
        <v>22</v>
      </c>
      <c r="L264" s="1" t="s">
        <v>1244</v>
      </c>
      <c r="M264" s="1" t="s">
        <v>24</v>
      </c>
      <c r="N264" s="18">
        <v>1</v>
      </c>
      <c r="O264" s="1" t="s">
        <v>36</v>
      </c>
      <c r="P264" s="1" t="s">
        <v>900</v>
      </c>
    </row>
    <row r="265" spans="1:16" x14ac:dyDescent="0.3">
      <c r="A265" s="1" t="s">
        <v>901</v>
      </c>
      <c r="B265" s="1" t="s">
        <v>902</v>
      </c>
      <c r="C265" s="1"/>
      <c r="D265" s="16">
        <v>499</v>
      </c>
      <c r="E265" s="16">
        <v>145</v>
      </c>
      <c r="F265" s="5">
        <v>0.7</v>
      </c>
      <c r="G265" s="1" t="s">
        <v>32</v>
      </c>
      <c r="H265" s="1">
        <v>1</v>
      </c>
      <c r="I265" s="1" t="s">
        <v>20</v>
      </c>
      <c r="J265" s="1" t="s">
        <v>21</v>
      </c>
      <c r="K265" s="1" t="s">
        <v>22</v>
      </c>
      <c r="L265" s="1" t="s">
        <v>23</v>
      </c>
      <c r="M265" s="1" t="s">
        <v>24</v>
      </c>
      <c r="N265" s="18">
        <v>2</v>
      </c>
      <c r="O265" s="1" t="s">
        <v>24</v>
      </c>
      <c r="P265" s="1" t="s">
        <v>903</v>
      </c>
    </row>
    <row r="266" spans="1:16" x14ac:dyDescent="0.3">
      <c r="A266" s="1" t="s">
        <v>904</v>
      </c>
      <c r="B266" s="1" t="s">
        <v>905</v>
      </c>
      <c r="C266" s="1"/>
      <c r="D266" s="16">
        <v>299</v>
      </c>
      <c r="E266" s="16">
        <v>119</v>
      </c>
      <c r="F266" s="5">
        <v>0.6</v>
      </c>
      <c r="G266" s="1" t="s">
        <v>32</v>
      </c>
      <c r="H266" s="1">
        <v>1</v>
      </c>
      <c r="I266" s="1" t="s">
        <v>20</v>
      </c>
      <c r="J266" s="1" t="s">
        <v>33</v>
      </c>
      <c r="K266" s="1" t="s">
        <v>34</v>
      </c>
      <c r="L266" s="1" t="s">
        <v>1244</v>
      </c>
      <c r="M266" s="1" t="s">
        <v>24</v>
      </c>
      <c r="N266" s="18">
        <v>2</v>
      </c>
      <c r="O266" s="1" t="s">
        <v>36</v>
      </c>
      <c r="P266" s="1" t="s">
        <v>906</v>
      </c>
    </row>
    <row r="267" spans="1:16" x14ac:dyDescent="0.3">
      <c r="A267" s="1" t="s">
        <v>907</v>
      </c>
      <c r="B267" s="1" t="s">
        <v>908</v>
      </c>
      <c r="C267" s="1"/>
      <c r="D267" s="16">
        <v>489</v>
      </c>
      <c r="E267" s="16">
        <v>145</v>
      </c>
      <c r="F267" s="5">
        <v>0.7</v>
      </c>
      <c r="G267" s="1" t="s">
        <v>32</v>
      </c>
      <c r="H267" s="1">
        <v>1</v>
      </c>
      <c r="I267" s="1" t="s">
        <v>20</v>
      </c>
      <c r="J267" s="1" t="s">
        <v>33</v>
      </c>
      <c r="K267" s="1" t="s">
        <v>34</v>
      </c>
      <c r="L267" s="1" t="s">
        <v>1244</v>
      </c>
      <c r="M267" s="1" t="s">
        <v>36</v>
      </c>
      <c r="N267" s="18">
        <v>2</v>
      </c>
      <c r="O267" s="1" t="s">
        <v>36</v>
      </c>
      <c r="P267" s="1" t="s">
        <v>67</v>
      </c>
    </row>
    <row r="268" spans="1:16" x14ac:dyDescent="0.3">
      <c r="A268" s="1" t="s">
        <v>909</v>
      </c>
      <c r="B268" s="1" t="s">
        <v>910</v>
      </c>
      <c r="C268" s="1"/>
      <c r="D268" s="16">
        <v>599</v>
      </c>
      <c r="E268" s="16">
        <v>126</v>
      </c>
      <c r="F268" s="5">
        <v>0.78</v>
      </c>
      <c r="G268" s="1" t="s">
        <v>32</v>
      </c>
      <c r="H268" s="1">
        <v>1</v>
      </c>
      <c r="I268" s="1" t="s">
        <v>20</v>
      </c>
      <c r="J268" s="1" t="s">
        <v>322</v>
      </c>
      <c r="K268" s="1" t="s">
        <v>34</v>
      </c>
      <c r="L268" s="1" t="s">
        <v>1244</v>
      </c>
      <c r="M268" s="1" t="s">
        <v>24</v>
      </c>
      <c r="N268" s="18">
        <v>1</v>
      </c>
      <c r="O268" s="1" t="s">
        <v>36</v>
      </c>
      <c r="P268" s="1" t="s">
        <v>911</v>
      </c>
    </row>
    <row r="269" spans="1:16" x14ac:dyDescent="0.3">
      <c r="A269" s="1" t="s">
        <v>912</v>
      </c>
      <c r="B269" s="1" t="s">
        <v>173</v>
      </c>
      <c r="C269" s="1"/>
      <c r="D269" s="16">
        <v>299</v>
      </c>
      <c r="E269" s="16">
        <v>124</v>
      </c>
      <c r="F269" s="5">
        <v>0.57999999999999996</v>
      </c>
      <c r="G269" s="1" t="s">
        <v>32</v>
      </c>
      <c r="H269" s="1">
        <v>1</v>
      </c>
      <c r="I269" s="1" t="s">
        <v>20</v>
      </c>
      <c r="J269" s="1" t="s">
        <v>66</v>
      </c>
      <c r="K269" s="1" t="s">
        <v>22</v>
      </c>
      <c r="L269" s="1" t="s">
        <v>1244</v>
      </c>
      <c r="M269" s="1" t="s">
        <v>36</v>
      </c>
      <c r="N269" s="18">
        <v>2</v>
      </c>
      <c r="O269" s="1" t="s">
        <v>36</v>
      </c>
      <c r="P269" s="1" t="s">
        <v>148</v>
      </c>
    </row>
    <row r="270" spans="1:16" x14ac:dyDescent="0.3">
      <c r="A270" s="1" t="s">
        <v>913</v>
      </c>
      <c r="B270" s="1" t="s">
        <v>899</v>
      </c>
      <c r="C270" s="1"/>
      <c r="D270" s="16">
        <v>625</v>
      </c>
      <c r="E270" s="16">
        <v>298</v>
      </c>
      <c r="F270" s="5">
        <v>0.52</v>
      </c>
      <c r="G270" s="1" t="s">
        <v>32</v>
      </c>
      <c r="H270" s="1">
        <v>1</v>
      </c>
      <c r="I270" s="1" t="s">
        <v>20</v>
      </c>
      <c r="J270" s="1" t="s">
        <v>33</v>
      </c>
      <c r="K270" s="1" t="s">
        <v>22</v>
      </c>
      <c r="L270" s="1" t="s">
        <v>1244</v>
      </c>
      <c r="M270" s="1" t="s">
        <v>24</v>
      </c>
      <c r="N270" s="18">
        <v>1</v>
      </c>
      <c r="O270" s="1" t="s">
        <v>36</v>
      </c>
      <c r="P270" s="1" t="s">
        <v>900</v>
      </c>
    </row>
    <row r="271" spans="1:16" x14ac:dyDescent="0.3">
      <c r="A271" s="1" t="s">
        <v>915</v>
      </c>
      <c r="B271" s="1" t="s">
        <v>916</v>
      </c>
      <c r="C271" s="1"/>
      <c r="D271" s="16">
        <v>625</v>
      </c>
      <c r="E271" s="16">
        <v>122</v>
      </c>
      <c r="F271" s="5">
        <v>0.8</v>
      </c>
      <c r="G271" s="1" t="s">
        <v>32</v>
      </c>
      <c r="H271" s="1">
        <v>1</v>
      </c>
      <c r="I271" s="1" t="s">
        <v>20</v>
      </c>
      <c r="J271" s="1" t="s">
        <v>243</v>
      </c>
      <c r="K271" s="1" t="s">
        <v>34</v>
      </c>
      <c r="L271" s="1" t="s">
        <v>1244</v>
      </c>
      <c r="M271" s="1" t="s">
        <v>24</v>
      </c>
      <c r="N271" s="18">
        <v>2</v>
      </c>
      <c r="O271" s="1" t="s">
        <v>24</v>
      </c>
      <c r="P271" s="1" t="s">
        <v>216</v>
      </c>
    </row>
    <row r="272" spans="1:16" x14ac:dyDescent="0.3">
      <c r="A272" s="1" t="s">
        <v>917</v>
      </c>
      <c r="B272" s="1" t="s">
        <v>548</v>
      </c>
      <c r="C272" s="1"/>
      <c r="D272" s="16">
        <v>499</v>
      </c>
      <c r="E272" s="16">
        <v>141</v>
      </c>
      <c r="F272" s="5">
        <v>0.71</v>
      </c>
      <c r="G272" s="1" t="s">
        <v>32</v>
      </c>
      <c r="H272" s="1">
        <v>1</v>
      </c>
      <c r="I272" s="1" t="s">
        <v>20</v>
      </c>
      <c r="J272" s="1" t="s">
        <v>33</v>
      </c>
      <c r="K272" s="1" t="s">
        <v>34</v>
      </c>
      <c r="L272" s="1" t="s">
        <v>1244</v>
      </c>
      <c r="M272" s="1" t="s">
        <v>36</v>
      </c>
      <c r="N272" s="18">
        <v>2</v>
      </c>
      <c r="O272" s="1" t="s">
        <v>36</v>
      </c>
      <c r="P272" s="1" t="s">
        <v>550</v>
      </c>
    </row>
    <row r="273" spans="1:16" x14ac:dyDescent="0.3">
      <c r="A273" s="1" t="s">
        <v>920</v>
      </c>
      <c r="B273" s="1" t="s">
        <v>899</v>
      </c>
      <c r="C273" s="1"/>
      <c r="D273" s="16">
        <v>419</v>
      </c>
      <c r="E273" s="16">
        <v>289</v>
      </c>
      <c r="F273" s="5">
        <v>0.31</v>
      </c>
      <c r="G273" s="1" t="s">
        <v>32</v>
      </c>
      <c r="H273" s="1">
        <v>1</v>
      </c>
      <c r="I273" s="1" t="s">
        <v>20</v>
      </c>
      <c r="J273" s="1" t="s">
        <v>33</v>
      </c>
      <c r="K273" s="1" t="s">
        <v>22</v>
      </c>
      <c r="L273" s="1" t="s">
        <v>1244</v>
      </c>
      <c r="M273" s="1" t="s">
        <v>24</v>
      </c>
      <c r="N273" s="18">
        <v>1</v>
      </c>
      <c r="O273" s="1" t="s">
        <v>36</v>
      </c>
      <c r="P273" s="1" t="s">
        <v>900</v>
      </c>
    </row>
    <row r="274" spans="1:16" x14ac:dyDescent="0.3">
      <c r="A274" s="1" t="s">
        <v>922</v>
      </c>
      <c r="B274" s="1" t="s">
        <v>923</v>
      </c>
      <c r="C274" s="1"/>
      <c r="D274" s="16">
        <v>499</v>
      </c>
      <c r="E274" s="16">
        <v>135</v>
      </c>
      <c r="F274" s="5">
        <v>0.72</v>
      </c>
      <c r="G274" s="1" t="s">
        <v>32</v>
      </c>
      <c r="H274" s="1">
        <v>1</v>
      </c>
      <c r="I274" s="1" t="s">
        <v>20</v>
      </c>
      <c r="J274" s="1" t="s">
        <v>33</v>
      </c>
      <c r="K274" s="1" t="s">
        <v>22</v>
      </c>
      <c r="L274" s="1" t="s">
        <v>1244</v>
      </c>
      <c r="M274" s="1" t="s">
        <v>24</v>
      </c>
      <c r="N274" s="18">
        <v>1</v>
      </c>
      <c r="O274" s="1" t="s">
        <v>36</v>
      </c>
      <c r="P274" s="1" t="s">
        <v>73</v>
      </c>
    </row>
    <row r="275" spans="1:16" x14ac:dyDescent="0.3">
      <c r="A275" s="1" t="s">
        <v>924</v>
      </c>
      <c r="B275" s="1" t="s">
        <v>925</v>
      </c>
      <c r="C275" s="1"/>
      <c r="D275" s="16">
        <v>399</v>
      </c>
      <c r="E275" s="16">
        <v>125</v>
      </c>
      <c r="F275" s="5">
        <v>0.68</v>
      </c>
      <c r="G275" s="1" t="s">
        <v>32</v>
      </c>
      <c r="H275" s="1">
        <v>1</v>
      </c>
      <c r="I275" s="1" t="s">
        <v>20</v>
      </c>
      <c r="J275" s="1" t="s">
        <v>33</v>
      </c>
      <c r="K275" s="1" t="s">
        <v>34</v>
      </c>
      <c r="L275" s="1" t="s">
        <v>1244</v>
      </c>
      <c r="M275" s="1" t="s">
        <v>36</v>
      </c>
      <c r="N275" s="18">
        <v>2</v>
      </c>
      <c r="O275" s="1" t="s">
        <v>36</v>
      </c>
      <c r="P275" s="1" t="s">
        <v>57</v>
      </c>
    </row>
    <row r="276" spans="1:16" x14ac:dyDescent="0.3">
      <c r="A276" s="1" t="s">
        <v>926</v>
      </c>
      <c r="B276" s="1" t="s">
        <v>862</v>
      </c>
      <c r="C276" s="1"/>
      <c r="D276" s="16">
        <v>489</v>
      </c>
      <c r="E276" s="16">
        <v>189</v>
      </c>
      <c r="F276" s="5">
        <v>0.61</v>
      </c>
      <c r="G276" s="1" t="s">
        <v>32</v>
      </c>
      <c r="H276" s="1">
        <v>1</v>
      </c>
      <c r="I276" s="1" t="s">
        <v>20</v>
      </c>
      <c r="J276" s="1" t="s">
        <v>43</v>
      </c>
      <c r="K276" s="1" t="s">
        <v>22</v>
      </c>
      <c r="L276" s="1" t="s">
        <v>1244</v>
      </c>
      <c r="M276" s="1" t="s">
        <v>24</v>
      </c>
      <c r="N276" s="18">
        <v>1</v>
      </c>
      <c r="O276" s="1" t="s">
        <v>36</v>
      </c>
      <c r="P276" s="1" t="s">
        <v>87</v>
      </c>
    </row>
    <row r="277" spans="1:16" x14ac:dyDescent="0.3">
      <c r="A277" s="1" t="s">
        <v>927</v>
      </c>
      <c r="B277" s="1" t="s">
        <v>899</v>
      </c>
      <c r="C277" s="1"/>
      <c r="D277" s="16">
        <v>449</v>
      </c>
      <c r="E277" s="16">
        <v>271</v>
      </c>
      <c r="F277" s="5">
        <v>0.39</v>
      </c>
      <c r="G277" s="1" t="s">
        <v>32</v>
      </c>
      <c r="H277" s="1">
        <v>1</v>
      </c>
      <c r="I277" s="1" t="s">
        <v>20</v>
      </c>
      <c r="J277" s="1" t="s">
        <v>33</v>
      </c>
      <c r="K277" s="1" t="s">
        <v>22</v>
      </c>
      <c r="L277" s="1" t="s">
        <v>1244</v>
      </c>
      <c r="M277" s="1" t="s">
        <v>24</v>
      </c>
      <c r="N277" s="18">
        <v>1</v>
      </c>
      <c r="O277" s="1" t="s">
        <v>36</v>
      </c>
      <c r="P277" s="1" t="s">
        <v>900</v>
      </c>
    </row>
    <row r="278" spans="1:16" x14ac:dyDescent="0.3">
      <c r="A278" s="1" t="s">
        <v>929</v>
      </c>
      <c r="B278" s="1" t="s">
        <v>930</v>
      </c>
      <c r="C278" s="1"/>
      <c r="D278" s="16">
        <v>399</v>
      </c>
      <c r="E278" s="16">
        <v>127</v>
      </c>
      <c r="F278" s="5">
        <v>0.68</v>
      </c>
      <c r="G278" s="1" t="s">
        <v>32</v>
      </c>
      <c r="H278" s="1">
        <v>1</v>
      </c>
      <c r="I278" s="1" t="s">
        <v>20</v>
      </c>
      <c r="J278" s="1" t="s">
        <v>21</v>
      </c>
      <c r="K278" s="1" t="s">
        <v>34</v>
      </c>
      <c r="L278" s="1" t="s">
        <v>1244</v>
      </c>
      <c r="M278" s="1" t="s">
        <v>36</v>
      </c>
      <c r="N278" s="18">
        <v>1</v>
      </c>
      <c r="O278" s="1" t="s">
        <v>24</v>
      </c>
      <c r="P278" s="1" t="s">
        <v>931</v>
      </c>
    </row>
    <row r="279" spans="1:16" x14ac:dyDescent="0.3">
      <c r="A279" s="1" t="s">
        <v>932</v>
      </c>
      <c r="B279" s="1" t="s">
        <v>586</v>
      </c>
      <c r="C279" s="1"/>
      <c r="D279" s="16">
        <v>596</v>
      </c>
      <c r="E279" s="16">
        <v>126</v>
      </c>
      <c r="F279" s="5">
        <v>0.78</v>
      </c>
      <c r="G279" s="1" t="s">
        <v>32</v>
      </c>
      <c r="H279" s="1">
        <v>1</v>
      </c>
      <c r="I279" s="1" t="s">
        <v>20</v>
      </c>
      <c r="J279" s="1" t="s">
        <v>98</v>
      </c>
      <c r="K279" s="1" t="s">
        <v>34</v>
      </c>
      <c r="L279" s="1" t="s">
        <v>1244</v>
      </c>
      <c r="M279" s="1" t="s">
        <v>36</v>
      </c>
      <c r="N279" s="18">
        <v>2</v>
      </c>
      <c r="O279" s="1" t="s">
        <v>36</v>
      </c>
      <c r="P279" s="1" t="s">
        <v>38</v>
      </c>
    </row>
    <row r="280" spans="1:16" x14ac:dyDescent="0.3">
      <c r="A280" s="1" t="s">
        <v>934</v>
      </c>
      <c r="B280" s="1" t="s">
        <v>935</v>
      </c>
      <c r="C280" s="1"/>
      <c r="D280" s="16">
        <v>499</v>
      </c>
      <c r="E280" s="16">
        <v>130</v>
      </c>
      <c r="F280" s="5">
        <v>0.73</v>
      </c>
      <c r="G280" s="1" t="s">
        <v>19</v>
      </c>
      <c r="H280" s="1">
        <v>2</v>
      </c>
      <c r="I280" s="1" t="s">
        <v>20</v>
      </c>
      <c r="J280" s="1" t="s">
        <v>91</v>
      </c>
      <c r="K280" s="1" t="s">
        <v>22</v>
      </c>
      <c r="L280" s="1" t="s">
        <v>23</v>
      </c>
      <c r="M280" s="1" t="s">
        <v>24</v>
      </c>
      <c r="N280" s="18">
        <v>1</v>
      </c>
      <c r="O280" s="1" t="s">
        <v>36</v>
      </c>
      <c r="P280" s="1" t="s">
        <v>73</v>
      </c>
    </row>
    <row r="281" spans="1:16" x14ac:dyDescent="0.3">
      <c r="A281" s="1" t="s">
        <v>936</v>
      </c>
      <c r="B281" s="1" t="s">
        <v>937</v>
      </c>
      <c r="C281" s="1"/>
      <c r="D281" s="16">
        <v>499</v>
      </c>
      <c r="E281" s="16">
        <v>130</v>
      </c>
      <c r="F281" s="5">
        <v>0.73</v>
      </c>
      <c r="G281" s="1" t="s">
        <v>32</v>
      </c>
      <c r="H281" s="1">
        <v>1</v>
      </c>
      <c r="I281" s="1" t="s">
        <v>20</v>
      </c>
      <c r="J281" s="1" t="s">
        <v>135</v>
      </c>
      <c r="K281" s="1" t="s">
        <v>34</v>
      </c>
      <c r="L281" s="1" t="s">
        <v>23</v>
      </c>
      <c r="M281" s="1" t="s">
        <v>24</v>
      </c>
      <c r="N281" s="18">
        <v>2</v>
      </c>
      <c r="O281" s="1" t="s">
        <v>36</v>
      </c>
      <c r="P281" s="1" t="s">
        <v>938</v>
      </c>
    </row>
    <row r="282" spans="1:16" x14ac:dyDescent="0.3">
      <c r="A282" s="1" t="s">
        <v>939</v>
      </c>
      <c r="B282" s="1" t="s">
        <v>805</v>
      </c>
      <c r="C282" s="1"/>
      <c r="D282" s="16">
        <v>599</v>
      </c>
      <c r="E282" s="16">
        <v>126</v>
      </c>
      <c r="F282" s="5">
        <v>0.78</v>
      </c>
      <c r="G282" s="1" t="s">
        <v>32</v>
      </c>
      <c r="H282" s="1">
        <v>1</v>
      </c>
      <c r="I282" s="1" t="s">
        <v>20</v>
      </c>
      <c r="J282" s="1" t="s">
        <v>33</v>
      </c>
      <c r="K282" s="1" t="s">
        <v>34</v>
      </c>
      <c r="L282" s="1" t="s">
        <v>1244</v>
      </c>
      <c r="M282" s="1" t="s">
        <v>36</v>
      </c>
      <c r="N282" s="18">
        <v>2</v>
      </c>
      <c r="O282" s="1" t="s">
        <v>36</v>
      </c>
      <c r="P282" s="1" t="s">
        <v>38</v>
      </c>
    </row>
    <row r="283" spans="1:16" x14ac:dyDescent="0.3">
      <c r="A283" s="1" t="s">
        <v>940</v>
      </c>
      <c r="B283" s="1" t="s">
        <v>424</v>
      </c>
      <c r="C283" s="1"/>
      <c r="D283" s="16">
        <v>299</v>
      </c>
      <c r="E283" s="16">
        <v>166</v>
      </c>
      <c r="F283" s="5">
        <v>0.44</v>
      </c>
      <c r="G283" s="1" t="s">
        <v>19</v>
      </c>
      <c r="H283" s="1">
        <v>2</v>
      </c>
      <c r="I283" s="1" t="s">
        <v>20</v>
      </c>
      <c r="J283" s="1" t="s">
        <v>33</v>
      </c>
      <c r="K283" s="1" t="s">
        <v>34</v>
      </c>
      <c r="L283" s="1" t="s">
        <v>1244</v>
      </c>
      <c r="M283" s="1" t="s">
        <v>36</v>
      </c>
      <c r="N283" s="18">
        <v>2</v>
      </c>
      <c r="O283" s="1" t="s">
        <v>36</v>
      </c>
      <c r="P283" s="1" t="s">
        <v>427</v>
      </c>
    </row>
    <row r="284" spans="1:16" x14ac:dyDescent="0.3">
      <c r="A284" s="1" t="s">
        <v>942</v>
      </c>
      <c r="B284" s="1" t="s">
        <v>943</v>
      </c>
      <c r="C284" s="1"/>
      <c r="D284" s="16">
        <v>349</v>
      </c>
      <c r="E284" s="16">
        <v>199</v>
      </c>
      <c r="F284" s="5">
        <v>0.42</v>
      </c>
      <c r="G284" s="1" t="s">
        <v>32</v>
      </c>
      <c r="H284" s="1">
        <v>1</v>
      </c>
      <c r="I284" s="1" t="s">
        <v>20</v>
      </c>
      <c r="J284" s="1" t="s">
        <v>243</v>
      </c>
      <c r="K284" s="1" t="s">
        <v>34</v>
      </c>
      <c r="L284" s="1" t="s">
        <v>23</v>
      </c>
      <c r="M284" s="1" t="s">
        <v>24</v>
      </c>
      <c r="N284" s="18">
        <v>2</v>
      </c>
      <c r="O284" s="1" t="s">
        <v>24</v>
      </c>
      <c r="P284" s="1" t="s">
        <v>106</v>
      </c>
    </row>
    <row r="285" spans="1:16" x14ac:dyDescent="0.3">
      <c r="A285" s="1" t="s">
        <v>945</v>
      </c>
      <c r="B285" s="1" t="s">
        <v>946</v>
      </c>
      <c r="C285" s="1"/>
      <c r="D285" s="16">
        <v>499</v>
      </c>
      <c r="E285" s="16">
        <v>150</v>
      </c>
      <c r="F285" s="5">
        <v>0.69</v>
      </c>
      <c r="G285" s="1" t="s">
        <v>32</v>
      </c>
      <c r="H285" s="1">
        <v>1</v>
      </c>
      <c r="I285" s="1" t="s">
        <v>20</v>
      </c>
      <c r="J285" s="1" t="s">
        <v>43</v>
      </c>
      <c r="K285" s="1" t="s">
        <v>22</v>
      </c>
      <c r="L285" s="1" t="s">
        <v>1244</v>
      </c>
      <c r="M285" s="1" t="s">
        <v>36</v>
      </c>
      <c r="N285" s="18">
        <v>2</v>
      </c>
      <c r="O285" s="1" t="s">
        <v>36</v>
      </c>
      <c r="P285" s="1" t="s">
        <v>789</v>
      </c>
    </row>
    <row r="286" spans="1:16" x14ac:dyDescent="0.3">
      <c r="A286" s="1" t="s">
        <v>948</v>
      </c>
      <c r="B286" s="1" t="s">
        <v>949</v>
      </c>
      <c r="C286" s="1"/>
      <c r="D286" s="16">
        <v>299</v>
      </c>
      <c r="E286" s="16">
        <v>127</v>
      </c>
      <c r="F286" s="5">
        <v>0.56999999999999995</v>
      </c>
      <c r="G286" s="1" t="s">
        <v>32</v>
      </c>
      <c r="H286" s="1">
        <v>1</v>
      </c>
      <c r="I286" s="1" t="s">
        <v>20</v>
      </c>
      <c r="J286" s="1" t="s">
        <v>21</v>
      </c>
      <c r="K286" s="1" t="s">
        <v>34</v>
      </c>
      <c r="L286" s="1" t="s">
        <v>1244</v>
      </c>
      <c r="M286" s="1" t="s">
        <v>36</v>
      </c>
      <c r="N286" s="18">
        <v>1</v>
      </c>
      <c r="O286" s="1" t="s">
        <v>24</v>
      </c>
      <c r="P286" s="1" t="s">
        <v>294</v>
      </c>
    </row>
    <row r="287" spans="1:16" x14ac:dyDescent="0.3">
      <c r="A287" s="1" t="s">
        <v>950</v>
      </c>
      <c r="B287" s="1" t="s">
        <v>951</v>
      </c>
      <c r="C287" s="1"/>
      <c r="D287" s="16">
        <v>449</v>
      </c>
      <c r="E287" s="16">
        <v>178</v>
      </c>
      <c r="F287" s="5">
        <v>0.6</v>
      </c>
      <c r="G287" s="1" t="s">
        <v>32</v>
      </c>
      <c r="H287" s="1">
        <v>1</v>
      </c>
      <c r="I287" s="1" t="s">
        <v>20</v>
      </c>
      <c r="J287" s="1" t="s">
        <v>66</v>
      </c>
      <c r="K287" s="1" t="s">
        <v>22</v>
      </c>
      <c r="L287" s="1" t="s">
        <v>1244</v>
      </c>
      <c r="M287" s="1" t="s">
        <v>24</v>
      </c>
      <c r="N287" s="18">
        <v>2</v>
      </c>
      <c r="O287" s="1" t="s">
        <v>36</v>
      </c>
      <c r="P287" s="1" t="s">
        <v>87</v>
      </c>
    </row>
    <row r="288" spans="1:16" x14ac:dyDescent="0.3">
      <c r="A288" s="1" t="s">
        <v>953</v>
      </c>
      <c r="B288" s="1" t="s">
        <v>954</v>
      </c>
      <c r="C288" s="1"/>
      <c r="D288" s="16">
        <v>499</v>
      </c>
      <c r="E288" s="16">
        <v>135</v>
      </c>
      <c r="F288" s="5">
        <v>0.72</v>
      </c>
      <c r="G288" s="1" t="s">
        <v>32</v>
      </c>
      <c r="H288" s="1">
        <v>1</v>
      </c>
      <c r="I288" s="1" t="s">
        <v>20</v>
      </c>
      <c r="J288" s="1" t="s">
        <v>43</v>
      </c>
      <c r="K288" s="1" t="s">
        <v>34</v>
      </c>
      <c r="L288" s="1" t="s">
        <v>1244</v>
      </c>
      <c r="M288" s="1" t="s">
        <v>36</v>
      </c>
      <c r="N288" s="18">
        <v>1</v>
      </c>
      <c r="O288" s="1" t="s">
        <v>36</v>
      </c>
      <c r="P288" s="1" t="s">
        <v>73</v>
      </c>
    </row>
    <row r="289" spans="1:16" x14ac:dyDescent="0.3">
      <c r="A289" s="1" t="s">
        <v>955</v>
      </c>
      <c r="B289" s="1" t="s">
        <v>956</v>
      </c>
      <c r="C289" s="1"/>
      <c r="D289" s="16">
        <v>649</v>
      </c>
      <c r="E289" s="16">
        <v>145</v>
      </c>
      <c r="F289" s="5">
        <v>0.77</v>
      </c>
      <c r="G289" s="1" t="s">
        <v>32</v>
      </c>
      <c r="H289" s="1">
        <v>1</v>
      </c>
      <c r="I289" s="1" t="s">
        <v>20</v>
      </c>
      <c r="J289" s="1" t="s">
        <v>135</v>
      </c>
      <c r="K289" s="1" t="s">
        <v>34</v>
      </c>
      <c r="L289" s="1" t="s">
        <v>1244</v>
      </c>
      <c r="M289" s="1" t="s">
        <v>24</v>
      </c>
      <c r="N289" s="18">
        <v>2</v>
      </c>
      <c r="O289" s="1" t="s">
        <v>36</v>
      </c>
      <c r="P289" s="1" t="s">
        <v>958</v>
      </c>
    </row>
    <row r="290" spans="1:16" x14ac:dyDescent="0.3">
      <c r="A290" s="1" t="s">
        <v>959</v>
      </c>
      <c r="B290" s="1" t="s">
        <v>960</v>
      </c>
      <c r="C290" s="1"/>
      <c r="D290" s="16">
        <v>320</v>
      </c>
      <c r="E290" s="16">
        <v>121</v>
      </c>
      <c r="F290" s="5">
        <v>0.62</v>
      </c>
      <c r="G290" s="1" t="s">
        <v>32</v>
      </c>
      <c r="H290" s="1">
        <v>1</v>
      </c>
      <c r="I290" s="1" t="s">
        <v>20</v>
      </c>
      <c r="J290" s="1" t="s">
        <v>98</v>
      </c>
      <c r="K290" s="1" t="s">
        <v>34</v>
      </c>
      <c r="L290" s="1" t="s">
        <v>1244</v>
      </c>
      <c r="M290" s="1" t="s">
        <v>36</v>
      </c>
      <c r="N290" s="18">
        <v>15</v>
      </c>
      <c r="O290" s="1" t="s">
        <v>36</v>
      </c>
      <c r="P290" s="1" t="s">
        <v>962</v>
      </c>
    </row>
    <row r="291" spans="1:16" x14ac:dyDescent="0.3">
      <c r="A291" s="1" t="s">
        <v>963</v>
      </c>
      <c r="B291" s="1" t="s">
        <v>964</v>
      </c>
      <c r="C291" s="1"/>
      <c r="D291" s="16">
        <v>366</v>
      </c>
      <c r="E291" s="16">
        <v>134</v>
      </c>
      <c r="F291" s="5">
        <v>0.63</v>
      </c>
      <c r="G291" s="1" t="s">
        <v>32</v>
      </c>
      <c r="H291" s="1">
        <v>1</v>
      </c>
      <c r="I291" s="1" t="s">
        <v>20</v>
      </c>
      <c r="J291" s="1" t="s">
        <v>66</v>
      </c>
      <c r="K291" s="1" t="s">
        <v>22</v>
      </c>
      <c r="L291" s="1" t="s">
        <v>1244</v>
      </c>
      <c r="M291" s="1" t="s">
        <v>24</v>
      </c>
      <c r="N291" s="18">
        <v>0</v>
      </c>
      <c r="O291" s="1" t="s">
        <v>24</v>
      </c>
      <c r="P291" s="1" t="s">
        <v>167</v>
      </c>
    </row>
    <row r="292" spans="1:16" x14ac:dyDescent="0.3">
      <c r="A292" s="1" t="s">
        <v>967</v>
      </c>
      <c r="B292" s="1" t="s">
        <v>263</v>
      </c>
      <c r="C292" s="1"/>
      <c r="D292" s="16">
        <v>399</v>
      </c>
      <c r="E292" s="16">
        <v>134</v>
      </c>
      <c r="F292" s="5">
        <v>0.66</v>
      </c>
      <c r="G292" s="1" t="s">
        <v>19</v>
      </c>
      <c r="H292" s="1">
        <v>2</v>
      </c>
      <c r="I292" s="1" t="s">
        <v>20</v>
      </c>
      <c r="J292" s="1" t="s">
        <v>66</v>
      </c>
      <c r="K292" s="1" t="s">
        <v>22</v>
      </c>
      <c r="L292" s="1" t="s">
        <v>1244</v>
      </c>
      <c r="M292" s="1" t="s">
        <v>36</v>
      </c>
      <c r="N292" s="18">
        <v>1</v>
      </c>
      <c r="O292" s="1" t="s">
        <v>36</v>
      </c>
      <c r="P292" s="1" t="s">
        <v>38</v>
      </c>
    </row>
    <row r="293" spans="1:16" x14ac:dyDescent="0.3">
      <c r="A293" s="1" t="s">
        <v>968</v>
      </c>
      <c r="B293" s="1" t="s">
        <v>969</v>
      </c>
      <c r="C293" s="1"/>
      <c r="D293" s="16">
        <v>499</v>
      </c>
      <c r="E293" s="16">
        <v>150</v>
      </c>
      <c r="F293" s="5">
        <v>0.69</v>
      </c>
      <c r="G293" s="1" t="s">
        <v>19</v>
      </c>
      <c r="H293" s="1">
        <v>2</v>
      </c>
      <c r="I293" s="1" t="s">
        <v>20</v>
      </c>
      <c r="J293" s="1" t="s">
        <v>33</v>
      </c>
      <c r="K293" s="1" t="s">
        <v>34</v>
      </c>
      <c r="L293" s="1" t="s">
        <v>1244</v>
      </c>
      <c r="M293" s="1" t="s">
        <v>36</v>
      </c>
      <c r="N293" s="18">
        <v>1</v>
      </c>
      <c r="O293" s="1" t="s">
        <v>36</v>
      </c>
      <c r="P293" s="1" t="s">
        <v>73</v>
      </c>
    </row>
    <row r="294" spans="1:16" x14ac:dyDescent="0.3">
      <c r="A294" s="1" t="s">
        <v>970</v>
      </c>
      <c r="B294" s="1" t="s">
        <v>971</v>
      </c>
      <c r="C294" s="1"/>
      <c r="D294" s="16">
        <v>499</v>
      </c>
      <c r="E294" s="16">
        <v>237</v>
      </c>
      <c r="F294" s="5">
        <v>0.52</v>
      </c>
      <c r="G294" s="1" t="s">
        <v>973</v>
      </c>
      <c r="H294" s="1">
        <v>3</v>
      </c>
      <c r="I294" s="1" t="s">
        <v>20</v>
      </c>
      <c r="J294" s="1" t="s">
        <v>135</v>
      </c>
      <c r="K294" s="1" t="s">
        <v>34</v>
      </c>
      <c r="L294" s="1" t="s">
        <v>23</v>
      </c>
      <c r="M294" s="1" t="s">
        <v>36</v>
      </c>
      <c r="N294" s="18">
        <v>2</v>
      </c>
      <c r="O294" s="1" t="s">
        <v>36</v>
      </c>
      <c r="P294" s="1" t="s">
        <v>136</v>
      </c>
    </row>
    <row r="295" spans="1:16" x14ac:dyDescent="0.3">
      <c r="A295" s="1" t="s">
        <v>974</v>
      </c>
      <c r="B295" s="1" t="s">
        <v>975</v>
      </c>
      <c r="C295" s="1"/>
      <c r="D295" s="16">
        <v>499</v>
      </c>
      <c r="E295" s="16">
        <v>126</v>
      </c>
      <c r="F295" s="5">
        <v>0.74</v>
      </c>
      <c r="G295" s="1" t="s">
        <v>19</v>
      </c>
      <c r="H295" s="1">
        <v>2</v>
      </c>
      <c r="I295" s="1" t="s">
        <v>20</v>
      </c>
      <c r="J295" s="1" t="s">
        <v>98</v>
      </c>
      <c r="K295" s="1" t="s">
        <v>34</v>
      </c>
      <c r="L295" s="1" t="s">
        <v>1244</v>
      </c>
      <c r="M295" s="1" t="s">
        <v>36</v>
      </c>
      <c r="N295" s="18">
        <v>2</v>
      </c>
      <c r="O295" s="1" t="s">
        <v>36</v>
      </c>
      <c r="P295" s="1" t="s">
        <v>976</v>
      </c>
    </row>
    <row r="296" spans="1:16" x14ac:dyDescent="0.3">
      <c r="A296" s="1" t="s">
        <v>977</v>
      </c>
      <c r="B296" s="1" t="s">
        <v>978</v>
      </c>
      <c r="C296" s="1"/>
      <c r="D296" s="16">
        <v>499</v>
      </c>
      <c r="E296" s="16">
        <v>139</v>
      </c>
      <c r="F296" s="5">
        <v>0.72</v>
      </c>
      <c r="G296" s="1" t="s">
        <v>32</v>
      </c>
      <c r="H296" s="1">
        <v>1</v>
      </c>
      <c r="I296" s="1" t="s">
        <v>20</v>
      </c>
      <c r="J296" s="1" t="s">
        <v>43</v>
      </c>
      <c r="K296" s="1" t="s">
        <v>22</v>
      </c>
      <c r="L296" s="1" t="s">
        <v>1244</v>
      </c>
      <c r="M296" s="1" t="s">
        <v>24</v>
      </c>
      <c r="N296" s="18">
        <v>2</v>
      </c>
      <c r="O296" s="1" t="s">
        <v>36</v>
      </c>
      <c r="P296" s="1" t="s">
        <v>112</v>
      </c>
    </row>
    <row r="297" spans="1:16" x14ac:dyDescent="0.3">
      <c r="A297" s="1" t="s">
        <v>979</v>
      </c>
      <c r="B297" s="1" t="s">
        <v>980</v>
      </c>
      <c r="C297" s="1"/>
      <c r="D297" s="16">
        <v>299</v>
      </c>
      <c r="E297" s="16">
        <v>171</v>
      </c>
      <c r="F297" s="5">
        <v>0.42</v>
      </c>
      <c r="G297" s="1" t="s">
        <v>19</v>
      </c>
      <c r="H297" s="1">
        <v>2</v>
      </c>
      <c r="I297" s="1" t="s">
        <v>20</v>
      </c>
      <c r="J297" s="1" t="s">
        <v>43</v>
      </c>
      <c r="K297" s="1" t="s">
        <v>22</v>
      </c>
      <c r="L297" s="1" t="s">
        <v>1244</v>
      </c>
      <c r="M297" s="1" t="s">
        <v>36</v>
      </c>
      <c r="N297" s="18">
        <v>1</v>
      </c>
      <c r="O297" s="1" t="s">
        <v>36</v>
      </c>
      <c r="P297" s="1" t="s">
        <v>112</v>
      </c>
    </row>
    <row r="298" spans="1:16" x14ac:dyDescent="0.3">
      <c r="A298" s="1" t="s">
        <v>982</v>
      </c>
      <c r="B298" s="1" t="s">
        <v>983</v>
      </c>
      <c r="C298" s="1"/>
      <c r="D298" s="16">
        <v>300</v>
      </c>
      <c r="E298" s="16">
        <v>113</v>
      </c>
      <c r="F298" s="5">
        <v>0.62</v>
      </c>
      <c r="G298" s="1" t="s">
        <v>32</v>
      </c>
      <c r="H298" s="1">
        <v>1</v>
      </c>
      <c r="I298" s="1" t="s">
        <v>20</v>
      </c>
      <c r="J298" s="1" t="s">
        <v>21</v>
      </c>
      <c r="K298" s="1" t="s">
        <v>22</v>
      </c>
      <c r="L298" s="1" t="s">
        <v>23</v>
      </c>
      <c r="M298" s="1" t="s">
        <v>36</v>
      </c>
      <c r="N298" s="18">
        <v>2</v>
      </c>
      <c r="O298" s="1" t="s">
        <v>36</v>
      </c>
      <c r="P298" s="1" t="s">
        <v>654</v>
      </c>
    </row>
    <row r="299" spans="1:16" x14ac:dyDescent="0.3">
      <c r="A299" s="1" t="s">
        <v>985</v>
      </c>
      <c r="B299" s="1" t="s">
        <v>986</v>
      </c>
      <c r="C299" s="1"/>
      <c r="D299" s="16">
        <v>346</v>
      </c>
      <c r="E299" s="16">
        <v>165</v>
      </c>
      <c r="F299" s="5">
        <v>0.52</v>
      </c>
      <c r="G299" s="1" t="s">
        <v>19</v>
      </c>
      <c r="H299" s="1">
        <v>2</v>
      </c>
      <c r="I299" s="1" t="s">
        <v>20</v>
      </c>
      <c r="J299" s="1" t="s">
        <v>91</v>
      </c>
      <c r="K299" s="1" t="s">
        <v>34</v>
      </c>
      <c r="L299" s="1" t="s">
        <v>23</v>
      </c>
      <c r="M299" s="1" t="s">
        <v>36</v>
      </c>
      <c r="N299" s="18">
        <v>3</v>
      </c>
      <c r="O299" s="1" t="s">
        <v>24</v>
      </c>
      <c r="P299" s="1" t="s">
        <v>988</v>
      </c>
    </row>
    <row r="300" spans="1:16" x14ac:dyDescent="0.3">
      <c r="A300" s="1" t="s">
        <v>989</v>
      </c>
      <c r="B300" s="1" t="s">
        <v>265</v>
      </c>
      <c r="C300" s="1"/>
      <c r="D300" s="16">
        <v>489</v>
      </c>
      <c r="E300" s="16">
        <v>158</v>
      </c>
      <c r="F300" s="5">
        <v>0.67</v>
      </c>
      <c r="G300" s="1" t="s">
        <v>19</v>
      </c>
      <c r="H300" s="1">
        <v>2</v>
      </c>
      <c r="I300" s="1" t="s">
        <v>20</v>
      </c>
      <c r="J300" s="1" t="s">
        <v>43</v>
      </c>
      <c r="K300" s="1" t="s">
        <v>34</v>
      </c>
      <c r="L300" s="1" t="s">
        <v>1244</v>
      </c>
      <c r="M300" s="1" t="s">
        <v>36</v>
      </c>
      <c r="N300" s="18">
        <v>2</v>
      </c>
      <c r="O300" s="1" t="s">
        <v>36</v>
      </c>
      <c r="P300" s="1" t="s">
        <v>238</v>
      </c>
    </row>
    <row r="301" spans="1:16" x14ac:dyDescent="0.3">
      <c r="A301" s="1" t="s">
        <v>990</v>
      </c>
      <c r="B301" s="1" t="s">
        <v>991</v>
      </c>
      <c r="C301" s="1"/>
      <c r="D301" s="16">
        <v>599</v>
      </c>
      <c r="E301" s="16">
        <v>120</v>
      </c>
      <c r="F301" s="5">
        <v>0.79</v>
      </c>
      <c r="G301" s="1" t="s">
        <v>32</v>
      </c>
      <c r="H301" s="1">
        <v>1</v>
      </c>
      <c r="I301" s="1" t="s">
        <v>20</v>
      </c>
      <c r="J301" s="1" t="s">
        <v>33</v>
      </c>
      <c r="K301" s="1" t="s">
        <v>34</v>
      </c>
      <c r="L301" s="1" t="s">
        <v>1244</v>
      </c>
      <c r="M301" s="1" t="s">
        <v>36</v>
      </c>
      <c r="N301" s="18">
        <v>2</v>
      </c>
      <c r="O301" s="1" t="s">
        <v>36</v>
      </c>
      <c r="P301" s="1" t="s">
        <v>38</v>
      </c>
    </row>
    <row r="302" spans="1:16" x14ac:dyDescent="0.3">
      <c r="A302" s="1" t="s">
        <v>993</v>
      </c>
      <c r="B302" s="1" t="s">
        <v>994</v>
      </c>
      <c r="C302" s="1"/>
      <c r="D302" s="16">
        <v>399</v>
      </c>
      <c r="E302" s="16">
        <v>136</v>
      </c>
      <c r="F302" s="5">
        <v>0.65</v>
      </c>
      <c r="G302" s="1" t="s">
        <v>32</v>
      </c>
      <c r="H302" s="1">
        <v>1</v>
      </c>
      <c r="I302" s="1" t="s">
        <v>20</v>
      </c>
      <c r="J302" s="1" t="s">
        <v>33</v>
      </c>
      <c r="K302" s="1" t="s">
        <v>22</v>
      </c>
      <c r="L302" s="1" t="s">
        <v>1244</v>
      </c>
      <c r="M302" s="1" t="s">
        <v>24</v>
      </c>
      <c r="N302" s="18">
        <v>2</v>
      </c>
      <c r="O302" s="1" t="s">
        <v>36</v>
      </c>
      <c r="P302" s="1" t="s">
        <v>73</v>
      </c>
    </row>
    <row r="303" spans="1:16" x14ac:dyDescent="0.3">
      <c r="A303" s="1" t="s">
        <v>996</v>
      </c>
      <c r="B303" s="1" t="s">
        <v>997</v>
      </c>
      <c r="C303" s="1"/>
      <c r="D303" s="16">
        <v>499</v>
      </c>
      <c r="E303" s="16">
        <v>155</v>
      </c>
      <c r="F303" s="5">
        <v>0.68</v>
      </c>
      <c r="G303" s="1" t="s">
        <v>32</v>
      </c>
      <c r="H303" s="1">
        <v>1</v>
      </c>
      <c r="I303" s="1" t="s">
        <v>20</v>
      </c>
      <c r="J303" s="1" t="s">
        <v>43</v>
      </c>
      <c r="K303" s="1" t="s">
        <v>34</v>
      </c>
      <c r="L303" s="1" t="s">
        <v>1244</v>
      </c>
      <c r="M303" s="1" t="s">
        <v>24</v>
      </c>
      <c r="N303" s="18">
        <v>2</v>
      </c>
      <c r="O303" s="1" t="s">
        <v>36</v>
      </c>
      <c r="P303" s="1" t="s">
        <v>998</v>
      </c>
    </row>
    <row r="304" spans="1:16" x14ac:dyDescent="0.3">
      <c r="A304" s="1" t="s">
        <v>999</v>
      </c>
      <c r="B304" s="1" t="s">
        <v>528</v>
      </c>
      <c r="C304" s="1"/>
      <c r="D304" s="16">
        <v>199</v>
      </c>
      <c r="E304" s="16">
        <v>126</v>
      </c>
      <c r="F304" s="5">
        <v>0.36</v>
      </c>
      <c r="G304" s="1" t="s">
        <v>32</v>
      </c>
      <c r="H304" s="1">
        <v>1</v>
      </c>
      <c r="I304" s="1" t="s">
        <v>20</v>
      </c>
      <c r="J304" s="1" t="s">
        <v>33</v>
      </c>
      <c r="K304" s="1" t="s">
        <v>22</v>
      </c>
      <c r="L304" s="1" t="s">
        <v>1244</v>
      </c>
      <c r="M304" s="1" t="s">
        <v>24</v>
      </c>
      <c r="N304" s="18">
        <v>2</v>
      </c>
      <c r="O304" s="1" t="s">
        <v>36</v>
      </c>
      <c r="P304" s="1" t="s">
        <v>73</v>
      </c>
    </row>
    <row r="305" spans="1:16" x14ac:dyDescent="0.3">
      <c r="A305" s="1" t="s">
        <v>1001</v>
      </c>
      <c r="B305" s="1" t="s">
        <v>1002</v>
      </c>
      <c r="C305" s="1"/>
      <c r="D305" s="16">
        <v>599</v>
      </c>
      <c r="E305" s="16">
        <v>135</v>
      </c>
      <c r="F305" s="5">
        <v>0.77</v>
      </c>
      <c r="G305" s="1" t="s">
        <v>32</v>
      </c>
      <c r="H305" s="1">
        <v>1</v>
      </c>
      <c r="I305" s="1" t="s">
        <v>20</v>
      </c>
      <c r="J305" s="1" t="s">
        <v>135</v>
      </c>
      <c r="K305" s="1" t="s">
        <v>34</v>
      </c>
      <c r="L305" s="1" t="s">
        <v>1244</v>
      </c>
      <c r="M305" s="1" t="s">
        <v>36</v>
      </c>
      <c r="N305" s="18">
        <v>2</v>
      </c>
      <c r="O305" s="1" t="s">
        <v>36</v>
      </c>
      <c r="P305" s="1" t="s">
        <v>38</v>
      </c>
    </row>
    <row r="306" spans="1:16" x14ac:dyDescent="0.3">
      <c r="A306" s="1" t="s">
        <v>1003</v>
      </c>
      <c r="B306" s="1" t="s">
        <v>1004</v>
      </c>
      <c r="C306" s="1"/>
      <c r="D306" s="16">
        <v>499</v>
      </c>
      <c r="E306" s="16">
        <v>127</v>
      </c>
      <c r="F306" s="5">
        <v>0.74</v>
      </c>
      <c r="G306" s="1" t="s">
        <v>19</v>
      </c>
      <c r="H306" s="1">
        <v>2</v>
      </c>
      <c r="I306" s="1" t="s">
        <v>20</v>
      </c>
      <c r="J306" s="1" t="s">
        <v>66</v>
      </c>
      <c r="K306" s="1" t="s">
        <v>22</v>
      </c>
      <c r="L306" s="1" t="s">
        <v>1244</v>
      </c>
      <c r="M306" s="1" t="s">
        <v>24</v>
      </c>
      <c r="N306" s="18">
        <v>1</v>
      </c>
      <c r="O306" s="1" t="s">
        <v>36</v>
      </c>
      <c r="P306" s="1" t="s">
        <v>73</v>
      </c>
    </row>
    <row r="307" spans="1:16" x14ac:dyDescent="0.3">
      <c r="A307" s="1" t="s">
        <v>1005</v>
      </c>
      <c r="B307" s="1" t="s">
        <v>1006</v>
      </c>
      <c r="C307" s="1"/>
      <c r="D307" s="16">
        <v>499</v>
      </c>
      <c r="E307" s="16">
        <v>127</v>
      </c>
      <c r="F307" s="5">
        <v>0.74</v>
      </c>
      <c r="G307" s="1" t="s">
        <v>32</v>
      </c>
      <c r="H307" s="1">
        <v>1</v>
      </c>
      <c r="I307" s="1" t="s">
        <v>20</v>
      </c>
      <c r="J307" s="1" t="s">
        <v>43</v>
      </c>
      <c r="K307" s="1" t="s">
        <v>22</v>
      </c>
      <c r="L307" s="1" t="s">
        <v>1244</v>
      </c>
      <c r="M307" s="1" t="s">
        <v>24</v>
      </c>
      <c r="N307" s="18">
        <v>2</v>
      </c>
      <c r="O307" s="1" t="s">
        <v>36</v>
      </c>
      <c r="P307" s="1" t="s">
        <v>801</v>
      </c>
    </row>
    <row r="308" spans="1:16" x14ac:dyDescent="0.3">
      <c r="A308" s="1" t="s">
        <v>1008</v>
      </c>
      <c r="B308" s="1" t="s">
        <v>1009</v>
      </c>
      <c r="C308" s="1"/>
      <c r="D308" s="16">
        <v>699</v>
      </c>
      <c r="E308" s="16">
        <v>125</v>
      </c>
      <c r="F308" s="5">
        <v>0.82</v>
      </c>
      <c r="G308" s="1" t="s">
        <v>32</v>
      </c>
      <c r="H308" s="1">
        <v>1</v>
      </c>
      <c r="I308" s="1" t="s">
        <v>20</v>
      </c>
      <c r="J308" s="1" t="s">
        <v>135</v>
      </c>
      <c r="K308" s="1" t="s">
        <v>34</v>
      </c>
      <c r="L308" s="1" t="s">
        <v>23</v>
      </c>
      <c r="M308" s="1" t="s">
        <v>36</v>
      </c>
      <c r="N308" s="18">
        <v>2</v>
      </c>
      <c r="O308" s="1" t="s">
        <v>36</v>
      </c>
      <c r="P308" s="1" t="s">
        <v>1010</v>
      </c>
    </row>
    <row r="309" spans="1:16" x14ac:dyDescent="0.3">
      <c r="A309" s="1" t="s">
        <v>1011</v>
      </c>
      <c r="B309" s="1" t="s">
        <v>1012</v>
      </c>
      <c r="C309" s="1"/>
      <c r="D309" s="16">
        <v>499</v>
      </c>
      <c r="E309" s="16">
        <v>163</v>
      </c>
      <c r="F309" s="5">
        <v>0.67</v>
      </c>
      <c r="G309" s="1" t="s">
        <v>32</v>
      </c>
      <c r="H309" s="1">
        <v>1</v>
      </c>
      <c r="I309" s="1" t="s">
        <v>20</v>
      </c>
      <c r="J309" s="1" t="s">
        <v>21</v>
      </c>
      <c r="K309" s="1" t="s">
        <v>34</v>
      </c>
      <c r="L309" s="1" t="s">
        <v>1244</v>
      </c>
      <c r="M309" s="1" t="s">
        <v>36</v>
      </c>
      <c r="N309" s="18">
        <v>0.5</v>
      </c>
      <c r="O309" s="1" t="s">
        <v>36</v>
      </c>
      <c r="P309" s="1" t="s">
        <v>390</v>
      </c>
    </row>
    <row r="310" spans="1:16" x14ac:dyDescent="0.3">
      <c r="A310" s="1" t="s">
        <v>1013</v>
      </c>
      <c r="B310" s="1" t="s">
        <v>1014</v>
      </c>
      <c r="C310" s="1"/>
      <c r="D310" s="16">
        <v>399</v>
      </c>
      <c r="E310" s="16">
        <v>128</v>
      </c>
      <c r="F310" s="5">
        <v>0.67</v>
      </c>
      <c r="G310" s="1" t="s">
        <v>32</v>
      </c>
      <c r="H310" s="1">
        <v>1</v>
      </c>
      <c r="I310" s="1" t="s">
        <v>20</v>
      </c>
      <c r="J310" s="1" t="s">
        <v>33</v>
      </c>
      <c r="K310" s="1" t="s">
        <v>211</v>
      </c>
      <c r="L310" s="1" t="s">
        <v>23</v>
      </c>
      <c r="M310" s="1" t="s">
        <v>36</v>
      </c>
      <c r="N310" s="18">
        <v>2</v>
      </c>
      <c r="O310" s="1" t="s">
        <v>36</v>
      </c>
      <c r="P310" s="1" t="s">
        <v>1016</v>
      </c>
    </row>
    <row r="311" spans="1:16" x14ac:dyDescent="0.3">
      <c r="A311" s="1" t="s">
        <v>1017</v>
      </c>
      <c r="B311" s="1" t="s">
        <v>1018</v>
      </c>
      <c r="C311" s="1"/>
      <c r="D311" s="16">
        <v>499</v>
      </c>
      <c r="E311" s="16">
        <v>139</v>
      </c>
      <c r="F311" s="5">
        <v>0.72</v>
      </c>
      <c r="G311" s="1" t="s">
        <v>32</v>
      </c>
      <c r="H311" s="1">
        <v>1</v>
      </c>
      <c r="I311" s="1" t="s">
        <v>20</v>
      </c>
      <c r="J311" s="1" t="s">
        <v>21</v>
      </c>
      <c r="K311" s="1" t="s">
        <v>22</v>
      </c>
      <c r="L311" s="1" t="s">
        <v>1244</v>
      </c>
      <c r="M311" s="1" t="s">
        <v>36</v>
      </c>
      <c r="N311" s="18">
        <v>1</v>
      </c>
      <c r="O311" s="1" t="s">
        <v>36</v>
      </c>
      <c r="P311" s="1" t="s">
        <v>1019</v>
      </c>
    </row>
    <row r="312" spans="1:16" x14ac:dyDescent="0.3">
      <c r="A312" s="1" t="s">
        <v>1020</v>
      </c>
      <c r="B312" s="1" t="s">
        <v>1021</v>
      </c>
      <c r="C312" s="1"/>
      <c r="D312" s="16">
        <v>499</v>
      </c>
      <c r="E312" s="16">
        <v>155</v>
      </c>
      <c r="F312" s="5">
        <v>0.68</v>
      </c>
      <c r="G312" s="1" t="s">
        <v>32</v>
      </c>
      <c r="H312" s="1">
        <v>1</v>
      </c>
      <c r="I312" s="1" t="s">
        <v>20</v>
      </c>
      <c r="J312" s="1" t="s">
        <v>135</v>
      </c>
      <c r="K312" s="1" t="s">
        <v>34</v>
      </c>
      <c r="L312" s="1" t="s">
        <v>1244</v>
      </c>
      <c r="M312" s="1" t="s">
        <v>36</v>
      </c>
      <c r="N312" s="18">
        <v>2</v>
      </c>
      <c r="O312" s="1" t="s">
        <v>36</v>
      </c>
      <c r="P312" s="1" t="s">
        <v>38</v>
      </c>
    </row>
    <row r="313" spans="1:16" x14ac:dyDescent="0.3">
      <c r="A313" s="1" t="s">
        <v>1022</v>
      </c>
      <c r="B313" s="1" t="s">
        <v>1023</v>
      </c>
      <c r="C313" s="1"/>
      <c r="D313" s="16">
        <v>2999</v>
      </c>
      <c r="E313" s="16">
        <v>288</v>
      </c>
      <c r="F313" s="5">
        <v>0.9</v>
      </c>
      <c r="G313" s="1" t="s">
        <v>32</v>
      </c>
      <c r="H313" s="1">
        <v>1</v>
      </c>
      <c r="I313" s="1" t="s">
        <v>20</v>
      </c>
      <c r="J313" s="1" t="s">
        <v>105</v>
      </c>
      <c r="K313" s="1" t="s">
        <v>34</v>
      </c>
      <c r="L313" s="1" t="s">
        <v>1244</v>
      </c>
      <c r="M313" s="1" t="s">
        <v>24</v>
      </c>
      <c r="N313" s="18">
        <v>2</v>
      </c>
      <c r="O313" s="1" t="s">
        <v>36</v>
      </c>
      <c r="P313" s="1" t="s">
        <v>1026</v>
      </c>
    </row>
    <row r="314" spans="1:16" x14ac:dyDescent="0.3">
      <c r="A314" s="1" t="s">
        <v>1027</v>
      </c>
      <c r="B314" s="1" t="s">
        <v>1028</v>
      </c>
      <c r="C314" s="1"/>
      <c r="D314" s="16">
        <v>498</v>
      </c>
      <c r="E314" s="16">
        <v>180</v>
      </c>
      <c r="F314" s="5">
        <v>0.63</v>
      </c>
      <c r="G314" s="1" t="s">
        <v>32</v>
      </c>
      <c r="H314" s="1">
        <v>1</v>
      </c>
      <c r="I314" s="1" t="s">
        <v>20</v>
      </c>
      <c r="J314" s="1" t="s">
        <v>105</v>
      </c>
      <c r="K314" s="1" t="s">
        <v>22</v>
      </c>
      <c r="L314" s="1" t="s">
        <v>1244</v>
      </c>
      <c r="M314" s="1" t="s">
        <v>36</v>
      </c>
      <c r="N314" s="18">
        <v>1</v>
      </c>
      <c r="O314" s="1" t="s">
        <v>36</v>
      </c>
      <c r="P314" s="1" t="s">
        <v>1029</v>
      </c>
    </row>
    <row r="315" spans="1:16" x14ac:dyDescent="0.3">
      <c r="A315" s="1" t="s">
        <v>1030</v>
      </c>
      <c r="B315" s="1" t="s">
        <v>1031</v>
      </c>
      <c r="C315" s="1"/>
      <c r="D315" s="16">
        <v>299</v>
      </c>
      <c r="E315" s="16">
        <v>155</v>
      </c>
      <c r="F315" s="5">
        <v>0.48</v>
      </c>
      <c r="G315" s="1" t="s">
        <v>32</v>
      </c>
      <c r="H315" s="1">
        <v>1</v>
      </c>
      <c r="I315" s="1" t="s">
        <v>20</v>
      </c>
      <c r="J315" s="1" t="s">
        <v>322</v>
      </c>
      <c r="K315" s="1" t="s">
        <v>34</v>
      </c>
      <c r="L315" s="1" t="s">
        <v>1244</v>
      </c>
      <c r="M315" s="1" t="s">
        <v>24</v>
      </c>
      <c r="N315" s="18">
        <v>2</v>
      </c>
      <c r="O315" s="1" t="s">
        <v>24</v>
      </c>
      <c r="P315" s="1" t="s">
        <v>1033</v>
      </c>
    </row>
    <row r="316" spans="1:16" x14ac:dyDescent="0.3">
      <c r="A316" s="1" t="s">
        <v>1034</v>
      </c>
      <c r="B316" s="1" t="s">
        <v>1035</v>
      </c>
      <c r="C316" s="1"/>
      <c r="D316" s="16">
        <v>299</v>
      </c>
      <c r="E316" s="16">
        <v>143</v>
      </c>
      <c r="F316" s="5">
        <v>0.52</v>
      </c>
      <c r="G316" s="1" t="s">
        <v>19</v>
      </c>
      <c r="H316" s="1">
        <v>2</v>
      </c>
      <c r="I316" s="1" t="s">
        <v>20</v>
      </c>
      <c r="J316" s="1" t="s">
        <v>33</v>
      </c>
      <c r="K316" s="1" t="s">
        <v>22</v>
      </c>
      <c r="L316" s="1" t="s">
        <v>1244</v>
      </c>
      <c r="M316" s="1" t="s">
        <v>24</v>
      </c>
      <c r="N316" s="18">
        <v>2</v>
      </c>
      <c r="O316" s="1" t="s">
        <v>36</v>
      </c>
      <c r="P316" s="1" t="s">
        <v>1036</v>
      </c>
    </row>
    <row r="317" spans="1:16" x14ac:dyDescent="0.3">
      <c r="A317" s="1" t="s">
        <v>1037</v>
      </c>
      <c r="B317" s="1" t="s">
        <v>1038</v>
      </c>
      <c r="C317" s="1"/>
      <c r="D317" s="16">
        <v>570</v>
      </c>
      <c r="E317" s="16">
        <v>135</v>
      </c>
      <c r="F317" s="5">
        <v>0.76</v>
      </c>
      <c r="G317" s="1" t="s">
        <v>32</v>
      </c>
      <c r="H317" s="1">
        <v>1</v>
      </c>
      <c r="I317" s="1" t="s">
        <v>20</v>
      </c>
      <c r="J317" s="1" t="s">
        <v>98</v>
      </c>
      <c r="K317" s="1" t="s">
        <v>34</v>
      </c>
      <c r="L317" s="1" t="s">
        <v>1244</v>
      </c>
      <c r="M317" s="1" t="s">
        <v>36</v>
      </c>
      <c r="N317" s="18">
        <v>2</v>
      </c>
      <c r="O317" s="1" t="s">
        <v>36</v>
      </c>
      <c r="P317" s="1" t="s">
        <v>1040</v>
      </c>
    </row>
    <row r="318" spans="1:16" x14ac:dyDescent="0.3">
      <c r="A318" s="1" t="s">
        <v>1041</v>
      </c>
      <c r="B318" s="1" t="s">
        <v>1042</v>
      </c>
      <c r="C318" s="1"/>
      <c r="D318" s="16">
        <v>599</v>
      </c>
      <c r="E318" s="16">
        <v>129</v>
      </c>
      <c r="F318" s="5">
        <v>0.78</v>
      </c>
      <c r="G318" s="1" t="s">
        <v>32</v>
      </c>
      <c r="H318" s="1">
        <v>1</v>
      </c>
      <c r="I318" s="1" t="s">
        <v>20</v>
      </c>
      <c r="J318" s="1" t="s">
        <v>43</v>
      </c>
      <c r="K318" s="1" t="s">
        <v>34</v>
      </c>
      <c r="L318" s="1" t="s">
        <v>1244</v>
      </c>
      <c r="M318" s="1" t="s">
        <v>36</v>
      </c>
      <c r="N318" s="18">
        <v>2</v>
      </c>
      <c r="O318" s="1" t="s">
        <v>36</v>
      </c>
      <c r="P318" s="1" t="s">
        <v>38</v>
      </c>
    </row>
    <row r="319" spans="1:16" x14ac:dyDescent="0.3">
      <c r="A319" s="1" t="s">
        <v>1043</v>
      </c>
      <c r="B319" s="1" t="s">
        <v>1044</v>
      </c>
      <c r="C319" s="1"/>
      <c r="D319" s="16">
        <v>599</v>
      </c>
      <c r="E319" s="16">
        <v>199</v>
      </c>
      <c r="F319" s="5">
        <v>0.66</v>
      </c>
      <c r="G319" s="1" t="s">
        <v>32</v>
      </c>
      <c r="H319" s="1">
        <v>1</v>
      </c>
      <c r="I319" s="1" t="s">
        <v>20</v>
      </c>
      <c r="J319" s="1" t="s">
        <v>105</v>
      </c>
      <c r="K319" s="1" t="s">
        <v>34</v>
      </c>
      <c r="L319" s="1" t="s">
        <v>1244</v>
      </c>
      <c r="M319" s="1" t="s">
        <v>36</v>
      </c>
      <c r="N319" s="18">
        <v>3</v>
      </c>
      <c r="O319" s="1" t="s">
        <v>36</v>
      </c>
      <c r="P319" s="1" t="s">
        <v>1045</v>
      </c>
    </row>
    <row r="320" spans="1:16" x14ac:dyDescent="0.3">
      <c r="A320" s="1" t="s">
        <v>1046</v>
      </c>
      <c r="B320" s="1" t="s">
        <v>1047</v>
      </c>
      <c r="C320" s="1"/>
      <c r="D320" s="16">
        <v>399</v>
      </c>
      <c r="E320" s="16">
        <v>120</v>
      </c>
      <c r="F320" s="5">
        <v>0.69</v>
      </c>
      <c r="G320" s="1" t="s">
        <v>32</v>
      </c>
      <c r="H320" s="1">
        <v>1</v>
      </c>
      <c r="I320" s="1" t="s">
        <v>20</v>
      </c>
      <c r="J320" s="1" t="s">
        <v>33</v>
      </c>
      <c r="K320" s="1" t="s">
        <v>34</v>
      </c>
      <c r="L320" s="1" t="s">
        <v>1244</v>
      </c>
      <c r="M320" s="1" t="s">
        <v>36</v>
      </c>
      <c r="N320" s="18">
        <v>2</v>
      </c>
      <c r="O320" s="1" t="s">
        <v>36</v>
      </c>
      <c r="P320" s="1" t="s">
        <v>1049</v>
      </c>
    </row>
    <row r="321" spans="1:16" x14ac:dyDescent="0.3">
      <c r="A321" s="1" t="s">
        <v>1050</v>
      </c>
      <c r="B321" s="1" t="s">
        <v>1051</v>
      </c>
      <c r="C321" s="1"/>
      <c r="D321" s="16">
        <v>659</v>
      </c>
      <c r="E321" s="16">
        <v>449</v>
      </c>
      <c r="F321" s="5">
        <v>0.31</v>
      </c>
      <c r="G321" s="1" t="s">
        <v>32</v>
      </c>
      <c r="H321" s="1">
        <v>1</v>
      </c>
      <c r="I321" s="1" t="s">
        <v>20</v>
      </c>
      <c r="J321" s="1" t="s">
        <v>105</v>
      </c>
      <c r="K321" s="1" t="s">
        <v>34</v>
      </c>
      <c r="L321" s="1" t="s">
        <v>23</v>
      </c>
      <c r="M321" s="1" t="s">
        <v>36</v>
      </c>
      <c r="N321" s="18">
        <v>2</v>
      </c>
      <c r="O321" s="1" t="s">
        <v>36</v>
      </c>
      <c r="P321" s="1" t="s">
        <v>1053</v>
      </c>
    </row>
    <row r="322" spans="1:16" x14ac:dyDescent="0.3">
      <c r="A322" s="1" t="s">
        <v>1054</v>
      </c>
      <c r="B322" s="1" t="s">
        <v>399</v>
      </c>
      <c r="C322" s="1"/>
      <c r="D322" s="16">
        <v>499</v>
      </c>
      <c r="E322" s="16">
        <v>139</v>
      </c>
      <c r="F322" s="5">
        <v>0.72</v>
      </c>
      <c r="G322" s="1" t="s">
        <v>19</v>
      </c>
      <c r="H322" s="1">
        <v>2</v>
      </c>
      <c r="I322" s="1" t="s">
        <v>20</v>
      </c>
      <c r="J322" s="1" t="s">
        <v>33</v>
      </c>
      <c r="K322" s="1" t="s">
        <v>34</v>
      </c>
      <c r="L322" s="1" t="s">
        <v>1244</v>
      </c>
      <c r="M322" s="1" t="s">
        <v>36</v>
      </c>
      <c r="N322" s="18">
        <v>2</v>
      </c>
      <c r="O322" s="1" t="s">
        <v>36</v>
      </c>
      <c r="P322" s="1" t="s">
        <v>38</v>
      </c>
    </row>
    <row r="323" spans="1:16" x14ac:dyDescent="0.3">
      <c r="A323" s="1" t="s">
        <v>1055</v>
      </c>
      <c r="B323" s="1" t="s">
        <v>1051</v>
      </c>
      <c r="C323" s="1"/>
      <c r="D323" s="16">
        <v>659</v>
      </c>
      <c r="E323" s="16">
        <v>449</v>
      </c>
      <c r="F323" s="5">
        <v>0.31</v>
      </c>
      <c r="G323" s="1" t="s">
        <v>32</v>
      </c>
      <c r="H323" s="1">
        <v>1</v>
      </c>
      <c r="I323" s="1" t="s">
        <v>20</v>
      </c>
      <c r="J323" s="1" t="s">
        <v>105</v>
      </c>
      <c r="K323" s="1" t="s">
        <v>34</v>
      </c>
      <c r="L323" s="1" t="s">
        <v>23</v>
      </c>
      <c r="M323" s="1" t="s">
        <v>36</v>
      </c>
      <c r="N323" s="18">
        <v>2</v>
      </c>
      <c r="O323" s="1" t="s">
        <v>36</v>
      </c>
      <c r="P323" s="1" t="s">
        <v>1053</v>
      </c>
    </row>
    <row r="324" spans="1:16" x14ac:dyDescent="0.3">
      <c r="A324" s="1" t="s">
        <v>1056</v>
      </c>
      <c r="B324" s="1" t="s">
        <v>1057</v>
      </c>
      <c r="C324" s="1"/>
      <c r="D324" s="16">
        <v>294</v>
      </c>
      <c r="E324" s="16">
        <v>113</v>
      </c>
      <c r="F324" s="5">
        <v>0.61</v>
      </c>
      <c r="G324" s="1" t="s">
        <v>32</v>
      </c>
      <c r="H324" s="1">
        <v>1</v>
      </c>
      <c r="I324" s="1" t="s">
        <v>20</v>
      </c>
      <c r="J324" s="1" t="s">
        <v>1058</v>
      </c>
      <c r="K324" s="1" t="s">
        <v>22</v>
      </c>
      <c r="L324" s="1" t="s">
        <v>1244</v>
      </c>
      <c r="M324" s="1" t="s">
        <v>24</v>
      </c>
      <c r="N324" s="18">
        <v>2</v>
      </c>
      <c r="O324" s="1" t="s">
        <v>36</v>
      </c>
      <c r="P324" s="1" t="s">
        <v>300</v>
      </c>
    </row>
    <row r="325" spans="1:16" x14ac:dyDescent="0.3">
      <c r="A325" s="1" t="s">
        <v>1059</v>
      </c>
      <c r="B325" s="1" t="s">
        <v>1060</v>
      </c>
      <c r="C325" s="1"/>
      <c r="D325" s="16">
        <v>399</v>
      </c>
      <c r="E325" s="16">
        <v>126</v>
      </c>
      <c r="F325" s="5">
        <v>0.68</v>
      </c>
      <c r="G325" s="1" t="s">
        <v>32</v>
      </c>
      <c r="H325" s="1">
        <v>1</v>
      </c>
      <c r="I325" s="1" t="s">
        <v>20</v>
      </c>
      <c r="J325" s="1" t="s">
        <v>33</v>
      </c>
      <c r="K325" s="1" t="s">
        <v>22</v>
      </c>
      <c r="L325" s="1" t="s">
        <v>1244</v>
      </c>
      <c r="M325" s="1" t="s">
        <v>36</v>
      </c>
      <c r="N325" s="18">
        <v>1</v>
      </c>
      <c r="O325" s="1" t="s">
        <v>36</v>
      </c>
      <c r="P325" s="1" t="s">
        <v>666</v>
      </c>
    </row>
    <row r="326" spans="1:16" x14ac:dyDescent="0.3">
      <c r="A326" s="1" t="s">
        <v>1061</v>
      </c>
      <c r="B326" s="1" t="s">
        <v>1062</v>
      </c>
      <c r="C326" s="1"/>
      <c r="D326" s="16">
        <v>399</v>
      </c>
      <c r="E326" s="16">
        <v>148</v>
      </c>
      <c r="F326" s="5">
        <v>0.62</v>
      </c>
      <c r="G326" s="1" t="s">
        <v>32</v>
      </c>
      <c r="H326" s="1">
        <v>1</v>
      </c>
      <c r="I326" s="1" t="s">
        <v>20</v>
      </c>
      <c r="J326" s="1" t="s">
        <v>43</v>
      </c>
      <c r="K326" s="1" t="s">
        <v>211</v>
      </c>
      <c r="L326" s="1" t="s">
        <v>23</v>
      </c>
      <c r="M326" s="1" t="s">
        <v>36</v>
      </c>
      <c r="N326" s="18">
        <v>0.5</v>
      </c>
      <c r="O326" s="1" t="s">
        <v>36</v>
      </c>
      <c r="P326" s="1" t="s">
        <v>148</v>
      </c>
    </row>
    <row r="327" spans="1:16" x14ac:dyDescent="0.3">
      <c r="A327" s="1" t="s">
        <v>1064</v>
      </c>
      <c r="B327" s="1" t="s">
        <v>1065</v>
      </c>
      <c r="C327" s="1"/>
      <c r="D327" s="16">
        <v>379</v>
      </c>
      <c r="E327" s="16">
        <v>134</v>
      </c>
      <c r="F327" s="5">
        <v>0.64</v>
      </c>
      <c r="G327" s="1" t="s">
        <v>19</v>
      </c>
      <c r="H327" s="1">
        <v>2</v>
      </c>
      <c r="I327" s="1" t="s">
        <v>20</v>
      </c>
      <c r="J327" s="1" t="s">
        <v>43</v>
      </c>
      <c r="K327" s="1" t="s">
        <v>22</v>
      </c>
      <c r="L327" s="1" t="s">
        <v>118</v>
      </c>
      <c r="M327" s="1" t="s">
        <v>24</v>
      </c>
      <c r="N327" s="18">
        <v>1</v>
      </c>
      <c r="O327" s="1" t="s">
        <v>36</v>
      </c>
      <c r="P327" s="1" t="s">
        <v>112</v>
      </c>
    </row>
    <row r="328" spans="1:16" x14ac:dyDescent="0.3">
      <c r="A328" s="1" t="s">
        <v>1067</v>
      </c>
      <c r="B328" s="1" t="s">
        <v>1068</v>
      </c>
      <c r="C328" s="1"/>
      <c r="D328" s="16">
        <v>549</v>
      </c>
      <c r="E328" s="16">
        <v>296</v>
      </c>
      <c r="F328" s="5">
        <v>0.46</v>
      </c>
      <c r="G328" s="1" t="s">
        <v>32</v>
      </c>
      <c r="H328" s="1">
        <v>1</v>
      </c>
      <c r="I328" s="1" t="s">
        <v>20</v>
      </c>
      <c r="J328" s="1" t="s">
        <v>105</v>
      </c>
      <c r="K328" s="1" t="s">
        <v>22</v>
      </c>
      <c r="L328" s="1" t="s">
        <v>23</v>
      </c>
      <c r="M328" s="1" t="s">
        <v>36</v>
      </c>
      <c r="N328" s="18">
        <v>2</v>
      </c>
      <c r="O328" s="1" t="s">
        <v>36</v>
      </c>
      <c r="P328" s="1" t="s">
        <v>1053</v>
      </c>
    </row>
    <row r="329" spans="1:16" x14ac:dyDescent="0.3">
      <c r="A329" s="1" t="s">
        <v>1070</v>
      </c>
      <c r="B329" s="1" t="s">
        <v>1071</v>
      </c>
      <c r="C329" s="1"/>
      <c r="D329" s="16">
        <v>399</v>
      </c>
      <c r="E329" s="16">
        <v>126</v>
      </c>
      <c r="F329" s="5">
        <v>0.68</v>
      </c>
      <c r="G329" s="1" t="s">
        <v>32</v>
      </c>
      <c r="H329" s="1">
        <v>1</v>
      </c>
      <c r="I329" s="1" t="s">
        <v>20</v>
      </c>
      <c r="J329" s="1" t="s">
        <v>66</v>
      </c>
      <c r="K329" s="1" t="s">
        <v>22</v>
      </c>
      <c r="L329" s="1" t="s">
        <v>1244</v>
      </c>
      <c r="M329" s="1" t="s">
        <v>36</v>
      </c>
      <c r="N329" s="18">
        <v>0.6</v>
      </c>
      <c r="O329" s="1" t="s">
        <v>36</v>
      </c>
      <c r="P329" s="1" t="s">
        <v>38</v>
      </c>
    </row>
    <row r="330" spans="1:16" x14ac:dyDescent="0.3">
      <c r="A330" s="1" t="s">
        <v>1072</v>
      </c>
      <c r="B330" s="1" t="s">
        <v>1073</v>
      </c>
      <c r="C330" s="1"/>
      <c r="D330" s="16">
        <v>1599</v>
      </c>
      <c r="E330" s="16">
        <v>452</v>
      </c>
      <c r="F330" s="5">
        <v>0.71</v>
      </c>
      <c r="G330" s="1" t="s">
        <v>32</v>
      </c>
      <c r="H330" s="1">
        <v>1</v>
      </c>
      <c r="I330" s="1" t="s">
        <v>20</v>
      </c>
      <c r="J330" s="1" t="s">
        <v>105</v>
      </c>
      <c r="K330" s="1" t="s">
        <v>34</v>
      </c>
      <c r="L330" s="1" t="s">
        <v>23</v>
      </c>
      <c r="M330" s="1" t="s">
        <v>24</v>
      </c>
      <c r="N330" s="18">
        <v>2</v>
      </c>
      <c r="O330" s="1" t="s">
        <v>24</v>
      </c>
      <c r="P330" s="1" t="s">
        <v>835</v>
      </c>
    </row>
    <row r="331" spans="1:16" x14ac:dyDescent="0.3">
      <c r="A331" s="1" t="s">
        <v>1075</v>
      </c>
      <c r="B331" s="1" t="s">
        <v>1076</v>
      </c>
      <c r="C331" s="1"/>
      <c r="D331" s="16">
        <v>359</v>
      </c>
      <c r="E331" s="16">
        <v>130</v>
      </c>
      <c r="F331" s="5">
        <v>0.63</v>
      </c>
      <c r="G331" s="1" t="s">
        <v>19</v>
      </c>
      <c r="H331" s="1">
        <v>2</v>
      </c>
      <c r="I331" s="1" t="s">
        <v>20</v>
      </c>
      <c r="J331" s="1" t="s">
        <v>43</v>
      </c>
      <c r="K331" s="1" t="s">
        <v>211</v>
      </c>
      <c r="L331" s="1" t="s">
        <v>1244</v>
      </c>
      <c r="M331" s="1" t="s">
        <v>24</v>
      </c>
      <c r="N331" s="18">
        <v>0.3</v>
      </c>
      <c r="O331" s="1" t="s">
        <v>36</v>
      </c>
      <c r="P331" s="1" t="s">
        <v>1078</v>
      </c>
    </row>
    <row r="332" spans="1:16" x14ac:dyDescent="0.3">
      <c r="A332" s="1" t="s">
        <v>1079</v>
      </c>
      <c r="B332" s="1" t="s">
        <v>1080</v>
      </c>
      <c r="C332" s="1"/>
      <c r="D332" s="16">
        <v>499</v>
      </c>
      <c r="E332" s="16">
        <v>122</v>
      </c>
      <c r="F332" s="5">
        <v>0.75</v>
      </c>
      <c r="G332" s="1" t="s">
        <v>32</v>
      </c>
      <c r="H332" s="1">
        <v>1</v>
      </c>
      <c r="I332" s="1" t="s">
        <v>20</v>
      </c>
      <c r="J332" s="1" t="s">
        <v>66</v>
      </c>
      <c r="K332" s="1" t="s">
        <v>22</v>
      </c>
      <c r="L332" s="1" t="s">
        <v>1244</v>
      </c>
      <c r="M332" s="1" t="s">
        <v>24</v>
      </c>
      <c r="N332" s="18">
        <v>1</v>
      </c>
      <c r="O332" s="1" t="s">
        <v>36</v>
      </c>
      <c r="P332" s="1" t="s">
        <v>73</v>
      </c>
    </row>
    <row r="333" spans="1:16" x14ac:dyDescent="0.3">
      <c r="A333" s="1" t="s">
        <v>1081</v>
      </c>
      <c r="B333" s="1" t="s">
        <v>1082</v>
      </c>
      <c r="C333" s="1"/>
      <c r="D333" s="16">
        <v>499</v>
      </c>
      <c r="E333" s="16">
        <v>135</v>
      </c>
      <c r="F333" s="5">
        <v>0.72</v>
      </c>
      <c r="G333" s="1" t="s">
        <v>32</v>
      </c>
      <c r="H333" s="1">
        <v>1</v>
      </c>
      <c r="I333" s="1" t="s">
        <v>20</v>
      </c>
      <c r="J333" s="1" t="s">
        <v>66</v>
      </c>
      <c r="K333" s="1" t="s">
        <v>34</v>
      </c>
      <c r="L333" s="1" t="s">
        <v>1244</v>
      </c>
      <c r="M333" s="1" t="s">
        <v>36</v>
      </c>
      <c r="N333" s="18">
        <v>2</v>
      </c>
      <c r="O333" s="1" t="s">
        <v>36</v>
      </c>
      <c r="P333" s="1" t="s">
        <v>550</v>
      </c>
    </row>
    <row r="334" spans="1:16" x14ac:dyDescent="0.3">
      <c r="A334" s="1" t="s">
        <v>1083</v>
      </c>
      <c r="B334" s="1" t="s">
        <v>1084</v>
      </c>
      <c r="C334" s="1"/>
      <c r="D334" s="16">
        <v>299</v>
      </c>
      <c r="E334" s="16">
        <v>125</v>
      </c>
      <c r="F334" s="5">
        <v>0.57999999999999996</v>
      </c>
      <c r="G334" s="1" t="s">
        <v>32</v>
      </c>
      <c r="H334" s="1">
        <v>1</v>
      </c>
      <c r="I334" s="1" t="s">
        <v>20</v>
      </c>
      <c r="J334" s="1" t="s">
        <v>33</v>
      </c>
      <c r="K334" s="1" t="s">
        <v>22</v>
      </c>
      <c r="L334" s="1" t="s">
        <v>1244</v>
      </c>
      <c r="M334" s="1" t="s">
        <v>36</v>
      </c>
      <c r="N334" s="18">
        <v>2</v>
      </c>
      <c r="O334" s="1" t="s">
        <v>36</v>
      </c>
      <c r="P334" s="1" t="s">
        <v>1085</v>
      </c>
    </row>
    <row r="335" spans="1:16" x14ac:dyDescent="0.3">
      <c r="A335" s="1" t="s">
        <v>1086</v>
      </c>
      <c r="B335" s="1" t="s">
        <v>1087</v>
      </c>
      <c r="C335" s="1"/>
      <c r="D335" s="16">
        <v>363</v>
      </c>
      <c r="E335" s="16">
        <v>120</v>
      </c>
      <c r="F335" s="5">
        <v>0.66</v>
      </c>
      <c r="G335" s="1" t="s">
        <v>32</v>
      </c>
      <c r="H335" s="1">
        <v>1</v>
      </c>
      <c r="I335" s="1" t="s">
        <v>20</v>
      </c>
      <c r="J335" s="1" t="s">
        <v>33</v>
      </c>
      <c r="K335" s="1" t="s">
        <v>34</v>
      </c>
      <c r="L335" s="1" t="s">
        <v>1244</v>
      </c>
      <c r="M335" s="1" t="s">
        <v>36</v>
      </c>
      <c r="N335" s="18">
        <v>2</v>
      </c>
      <c r="O335" s="1" t="s">
        <v>36</v>
      </c>
      <c r="P335" s="1" t="s">
        <v>1089</v>
      </c>
    </row>
    <row r="336" spans="1:16" x14ac:dyDescent="0.3">
      <c r="A336" s="1" t="s">
        <v>1090</v>
      </c>
      <c r="B336" s="1" t="s">
        <v>1091</v>
      </c>
      <c r="C336" s="1"/>
      <c r="D336" s="16">
        <v>399</v>
      </c>
      <c r="E336" s="16">
        <v>199</v>
      </c>
      <c r="F336" s="5">
        <v>0.5</v>
      </c>
      <c r="G336" s="1" t="s">
        <v>32</v>
      </c>
      <c r="H336" s="1">
        <v>1</v>
      </c>
      <c r="I336" s="1" t="s">
        <v>20</v>
      </c>
      <c r="J336" s="1" t="s">
        <v>43</v>
      </c>
      <c r="K336" s="1" t="s">
        <v>22</v>
      </c>
      <c r="L336" s="1" t="s">
        <v>1244</v>
      </c>
      <c r="M336" s="1" t="s">
        <v>24</v>
      </c>
      <c r="N336" s="18">
        <v>1</v>
      </c>
      <c r="O336" s="1" t="s">
        <v>36</v>
      </c>
      <c r="P336" s="1" t="s">
        <v>465</v>
      </c>
    </row>
    <row r="337" spans="1:16" x14ac:dyDescent="0.3">
      <c r="A337" s="1" t="s">
        <v>1092</v>
      </c>
      <c r="B337" s="1" t="s">
        <v>1093</v>
      </c>
      <c r="C337" s="1"/>
      <c r="D337" s="16">
        <v>699</v>
      </c>
      <c r="E337" s="16">
        <v>120</v>
      </c>
      <c r="F337" s="5">
        <v>0.82</v>
      </c>
      <c r="G337" s="1" t="s">
        <v>32</v>
      </c>
      <c r="H337" s="1">
        <v>1</v>
      </c>
      <c r="I337" s="1" t="s">
        <v>20</v>
      </c>
      <c r="J337" s="1" t="s">
        <v>33</v>
      </c>
      <c r="K337" s="1" t="s">
        <v>22</v>
      </c>
      <c r="L337" s="1" t="s">
        <v>1244</v>
      </c>
      <c r="M337" s="1" t="s">
        <v>24</v>
      </c>
      <c r="N337" s="18">
        <v>2</v>
      </c>
      <c r="O337" s="1" t="s">
        <v>36</v>
      </c>
      <c r="P337" s="1" t="s">
        <v>1094</v>
      </c>
    </row>
    <row r="338" spans="1:16" x14ac:dyDescent="0.3">
      <c r="A338" s="1" t="s">
        <v>1095</v>
      </c>
      <c r="B338" s="1" t="s">
        <v>1096</v>
      </c>
      <c r="C338" s="1"/>
      <c r="D338" s="16">
        <v>499</v>
      </c>
      <c r="E338" s="16">
        <v>121</v>
      </c>
      <c r="F338" s="5">
        <v>0.75</v>
      </c>
      <c r="G338" s="1" t="s">
        <v>32</v>
      </c>
      <c r="H338" s="1">
        <v>1</v>
      </c>
      <c r="I338" s="1" t="s">
        <v>20</v>
      </c>
      <c r="J338" s="1" t="s">
        <v>21</v>
      </c>
      <c r="K338" s="1" t="s">
        <v>211</v>
      </c>
      <c r="L338" s="1" t="s">
        <v>23</v>
      </c>
      <c r="M338" s="1" t="s">
        <v>24</v>
      </c>
      <c r="N338" s="18">
        <v>2</v>
      </c>
      <c r="O338" s="1" t="s">
        <v>24</v>
      </c>
      <c r="P338" s="1" t="s">
        <v>303</v>
      </c>
    </row>
    <row r="339" spans="1:16" x14ac:dyDescent="0.3">
      <c r="A339" s="1" t="s">
        <v>1097</v>
      </c>
      <c r="B339" s="1" t="s">
        <v>1098</v>
      </c>
      <c r="C339" s="1"/>
      <c r="D339" s="16">
        <v>549</v>
      </c>
      <c r="E339" s="16">
        <v>135</v>
      </c>
      <c r="F339" s="5">
        <v>0.75</v>
      </c>
      <c r="G339" s="1" t="s">
        <v>32</v>
      </c>
      <c r="H339" s="1">
        <v>1</v>
      </c>
      <c r="I339" s="1" t="s">
        <v>20</v>
      </c>
      <c r="J339" s="1" t="s">
        <v>33</v>
      </c>
      <c r="K339" s="1" t="s">
        <v>211</v>
      </c>
      <c r="L339" s="1" t="s">
        <v>1244</v>
      </c>
      <c r="M339" s="1" t="s">
        <v>36</v>
      </c>
      <c r="N339" s="18">
        <v>1</v>
      </c>
      <c r="O339" s="1" t="s">
        <v>36</v>
      </c>
      <c r="P339" s="1" t="s">
        <v>1099</v>
      </c>
    </row>
    <row r="340" spans="1:16" x14ac:dyDescent="0.3">
      <c r="A340" s="1" t="s">
        <v>1100</v>
      </c>
      <c r="B340" s="1" t="s">
        <v>1101</v>
      </c>
      <c r="C340" s="1"/>
      <c r="D340" s="16">
        <v>999</v>
      </c>
      <c r="E340" s="16">
        <v>149</v>
      </c>
      <c r="F340" s="5">
        <v>0.85</v>
      </c>
      <c r="G340" s="1" t="s">
        <v>19</v>
      </c>
      <c r="H340" s="1">
        <v>2</v>
      </c>
      <c r="I340" s="1" t="s">
        <v>20</v>
      </c>
      <c r="J340" s="1" t="s">
        <v>43</v>
      </c>
      <c r="K340" s="1" t="s">
        <v>34</v>
      </c>
      <c r="L340" s="1" t="s">
        <v>1244</v>
      </c>
      <c r="M340" s="1" t="s">
        <v>24</v>
      </c>
      <c r="N340" s="18">
        <v>2</v>
      </c>
      <c r="O340" s="1" t="s">
        <v>24</v>
      </c>
      <c r="P340" s="1" t="s">
        <v>1102</v>
      </c>
    </row>
    <row r="341" spans="1:16" x14ac:dyDescent="0.3">
      <c r="A341" s="1" t="s">
        <v>1103</v>
      </c>
      <c r="B341" s="1" t="s">
        <v>1104</v>
      </c>
      <c r="C341" s="1"/>
      <c r="D341" s="16">
        <v>399</v>
      </c>
      <c r="E341" s="16">
        <v>118</v>
      </c>
      <c r="F341" s="5">
        <v>0.7</v>
      </c>
      <c r="G341" s="1" t="s">
        <v>19</v>
      </c>
      <c r="H341" s="1">
        <v>2</v>
      </c>
      <c r="I341" s="1" t="s">
        <v>20</v>
      </c>
      <c r="J341" s="1" t="s">
        <v>33</v>
      </c>
      <c r="K341" s="1" t="s">
        <v>34</v>
      </c>
      <c r="L341" s="1" t="s">
        <v>1244</v>
      </c>
      <c r="M341" s="1" t="s">
        <v>24</v>
      </c>
      <c r="N341" s="18">
        <v>2</v>
      </c>
      <c r="O341" s="1" t="s">
        <v>36</v>
      </c>
      <c r="P341" s="1" t="s">
        <v>1105</v>
      </c>
    </row>
    <row r="342" spans="1:16" x14ac:dyDescent="0.3">
      <c r="A342" s="1" t="s">
        <v>1106</v>
      </c>
      <c r="B342" s="1" t="s">
        <v>1107</v>
      </c>
      <c r="C342" s="1"/>
      <c r="D342" s="16">
        <v>599</v>
      </c>
      <c r="E342" s="16">
        <v>122</v>
      </c>
      <c r="F342" s="5">
        <v>0.79</v>
      </c>
      <c r="G342" s="1" t="s">
        <v>32</v>
      </c>
      <c r="H342" s="1">
        <v>1</v>
      </c>
      <c r="I342" s="1" t="s">
        <v>20</v>
      </c>
      <c r="J342" s="1" t="s">
        <v>66</v>
      </c>
      <c r="K342" s="1" t="s">
        <v>34</v>
      </c>
      <c r="L342" s="1" t="s">
        <v>1244</v>
      </c>
      <c r="M342" s="1" t="s">
        <v>24</v>
      </c>
      <c r="N342" s="18">
        <v>2</v>
      </c>
      <c r="O342" s="1" t="s">
        <v>36</v>
      </c>
      <c r="P342" s="1" t="s">
        <v>252</v>
      </c>
    </row>
    <row r="343" spans="1:16" x14ac:dyDescent="0.3">
      <c r="A343" s="1" t="s">
        <v>1109</v>
      </c>
      <c r="B343" s="1" t="s">
        <v>1110</v>
      </c>
      <c r="C343" s="1"/>
      <c r="D343" s="16">
        <v>599</v>
      </c>
      <c r="E343" s="16">
        <v>115</v>
      </c>
      <c r="F343" s="5">
        <v>0.8</v>
      </c>
      <c r="G343" s="1" t="s">
        <v>32</v>
      </c>
      <c r="H343" s="1">
        <v>1</v>
      </c>
      <c r="I343" s="1" t="s">
        <v>20</v>
      </c>
      <c r="J343" s="1" t="s">
        <v>33</v>
      </c>
      <c r="K343" s="1" t="s">
        <v>34</v>
      </c>
      <c r="L343" s="1" t="s">
        <v>1244</v>
      </c>
      <c r="M343" s="1" t="s">
        <v>36</v>
      </c>
      <c r="N343" s="18">
        <v>2</v>
      </c>
      <c r="O343" s="1" t="s">
        <v>36</v>
      </c>
      <c r="P343" s="1" t="s">
        <v>38</v>
      </c>
    </row>
    <row r="344" spans="1:16" x14ac:dyDescent="0.3">
      <c r="A344" s="1" t="s">
        <v>1111</v>
      </c>
      <c r="B344" s="1" t="s">
        <v>1112</v>
      </c>
      <c r="C344" s="1"/>
      <c r="D344" s="16">
        <v>418</v>
      </c>
      <c r="E344" s="16">
        <v>109</v>
      </c>
      <c r="F344" s="5">
        <v>0.73</v>
      </c>
      <c r="G344" s="1" t="s">
        <v>32</v>
      </c>
      <c r="H344" s="1">
        <v>1</v>
      </c>
      <c r="I344" s="1" t="s">
        <v>20</v>
      </c>
      <c r="J344" s="1" t="s">
        <v>43</v>
      </c>
      <c r="K344" s="1" t="s">
        <v>34</v>
      </c>
      <c r="L344" s="1" t="s">
        <v>1244</v>
      </c>
      <c r="M344" s="1" t="s">
        <v>24</v>
      </c>
      <c r="N344" s="18">
        <v>1</v>
      </c>
      <c r="O344" s="1" t="s">
        <v>36</v>
      </c>
      <c r="P344" s="1" t="s">
        <v>79</v>
      </c>
    </row>
    <row r="345" spans="1:16" x14ac:dyDescent="0.3">
      <c r="A345" s="1" t="s">
        <v>1115</v>
      </c>
      <c r="B345" s="1" t="s">
        <v>489</v>
      </c>
      <c r="C345" s="1"/>
      <c r="D345" s="16">
        <v>599</v>
      </c>
      <c r="E345" s="16">
        <v>122</v>
      </c>
      <c r="F345" s="5">
        <v>0.79</v>
      </c>
      <c r="G345" s="1" t="s">
        <v>32</v>
      </c>
      <c r="H345" s="1">
        <v>1</v>
      </c>
      <c r="I345" s="1" t="s">
        <v>20</v>
      </c>
      <c r="J345" s="1" t="s">
        <v>43</v>
      </c>
      <c r="K345" s="1" t="s">
        <v>34</v>
      </c>
      <c r="L345" s="1" t="s">
        <v>1244</v>
      </c>
      <c r="M345" s="1" t="s">
        <v>36</v>
      </c>
      <c r="N345" s="18">
        <v>2</v>
      </c>
      <c r="O345" s="1" t="s">
        <v>36</v>
      </c>
      <c r="P345" s="1" t="s">
        <v>38</v>
      </c>
    </row>
    <row r="346" spans="1:16" x14ac:dyDescent="0.3">
      <c r="A346" s="1" t="s">
        <v>1116</v>
      </c>
      <c r="B346" s="1" t="s">
        <v>1117</v>
      </c>
      <c r="C346" s="1"/>
      <c r="D346" s="16">
        <v>590</v>
      </c>
      <c r="E346" s="16">
        <v>162</v>
      </c>
      <c r="F346" s="5">
        <v>0.72</v>
      </c>
      <c r="G346" s="1" t="s">
        <v>32</v>
      </c>
      <c r="H346" s="1">
        <v>1</v>
      </c>
      <c r="I346" s="1" t="s">
        <v>20</v>
      </c>
      <c r="J346" s="1" t="s">
        <v>98</v>
      </c>
      <c r="K346" s="1" t="s">
        <v>34</v>
      </c>
      <c r="L346" s="1" t="s">
        <v>1244</v>
      </c>
      <c r="M346" s="1" t="s">
        <v>36</v>
      </c>
      <c r="N346" s="18">
        <v>2</v>
      </c>
      <c r="O346" s="1" t="s">
        <v>36</v>
      </c>
      <c r="P346" s="1" t="s">
        <v>1120</v>
      </c>
    </row>
    <row r="347" spans="1:16" x14ac:dyDescent="0.3">
      <c r="A347" s="1" t="s">
        <v>1121</v>
      </c>
      <c r="B347" s="1" t="s">
        <v>1122</v>
      </c>
      <c r="C347" s="1"/>
      <c r="D347" s="16">
        <v>598</v>
      </c>
      <c r="E347" s="16">
        <v>138</v>
      </c>
      <c r="F347" s="5">
        <v>0.76</v>
      </c>
      <c r="G347" s="1" t="s">
        <v>32</v>
      </c>
      <c r="H347" s="1">
        <v>1</v>
      </c>
      <c r="I347" s="1" t="s">
        <v>20</v>
      </c>
      <c r="J347" s="1" t="s">
        <v>43</v>
      </c>
      <c r="K347" s="1" t="s">
        <v>34</v>
      </c>
      <c r="L347" s="1" t="s">
        <v>1244</v>
      </c>
      <c r="M347" s="1" t="s">
        <v>36</v>
      </c>
      <c r="N347" s="18">
        <v>2</v>
      </c>
      <c r="O347" s="1" t="s">
        <v>36</v>
      </c>
      <c r="P347" s="1" t="s">
        <v>38</v>
      </c>
    </row>
    <row r="348" spans="1:16" x14ac:dyDescent="0.3">
      <c r="A348" s="1" t="s">
        <v>1123</v>
      </c>
      <c r="B348" s="1" t="s">
        <v>1124</v>
      </c>
      <c r="C348" s="1"/>
      <c r="D348" s="16">
        <v>399</v>
      </c>
      <c r="E348" s="16">
        <v>136</v>
      </c>
      <c r="F348" s="5">
        <v>0.65</v>
      </c>
      <c r="G348" s="1" t="s">
        <v>32</v>
      </c>
      <c r="H348" s="1">
        <v>1</v>
      </c>
      <c r="I348" s="1" t="s">
        <v>20</v>
      </c>
      <c r="J348" s="1" t="s">
        <v>66</v>
      </c>
      <c r="K348" s="1" t="s">
        <v>22</v>
      </c>
      <c r="L348" s="1" t="s">
        <v>1244</v>
      </c>
      <c r="M348" s="1" t="s">
        <v>24</v>
      </c>
      <c r="N348" s="18">
        <v>1</v>
      </c>
      <c r="O348" s="1" t="s">
        <v>36</v>
      </c>
      <c r="P348" s="1" t="s">
        <v>87</v>
      </c>
    </row>
    <row r="349" spans="1:16" x14ac:dyDescent="0.3">
      <c r="A349" s="1" t="s">
        <v>1125</v>
      </c>
      <c r="B349" s="1" t="s">
        <v>1126</v>
      </c>
      <c r="C349" s="1"/>
      <c r="D349" s="16">
        <v>799</v>
      </c>
      <c r="E349" s="16">
        <v>399</v>
      </c>
      <c r="F349" s="5">
        <v>0.5</v>
      </c>
      <c r="G349" s="1" t="s">
        <v>32</v>
      </c>
      <c r="H349" s="1">
        <v>1</v>
      </c>
      <c r="I349" s="1" t="s">
        <v>20</v>
      </c>
      <c r="J349" s="1" t="s">
        <v>33</v>
      </c>
      <c r="K349" s="1" t="s">
        <v>22</v>
      </c>
      <c r="L349" s="1" t="s">
        <v>1244</v>
      </c>
      <c r="M349" s="1" t="s">
        <v>24</v>
      </c>
      <c r="N349" s="18">
        <v>1</v>
      </c>
      <c r="O349" s="1" t="s">
        <v>36</v>
      </c>
      <c r="P349" s="1" t="s">
        <v>384</v>
      </c>
    </row>
    <row r="350" spans="1:16" x14ac:dyDescent="0.3">
      <c r="A350" s="1" t="s">
        <v>1127</v>
      </c>
      <c r="B350" s="1" t="s">
        <v>1128</v>
      </c>
      <c r="C350" s="1"/>
      <c r="D350" s="16">
        <v>259</v>
      </c>
      <c r="E350" s="16">
        <v>199</v>
      </c>
      <c r="F350" s="5">
        <v>0.23</v>
      </c>
      <c r="G350" s="1" t="s">
        <v>32</v>
      </c>
      <c r="H350" s="1">
        <v>1</v>
      </c>
      <c r="I350" s="1" t="s">
        <v>20</v>
      </c>
      <c r="J350" s="1" t="s">
        <v>33</v>
      </c>
      <c r="K350" s="1" t="s">
        <v>34</v>
      </c>
      <c r="L350" s="1" t="s">
        <v>1244</v>
      </c>
      <c r="M350" s="1" t="s">
        <v>36</v>
      </c>
      <c r="N350" s="18">
        <v>1</v>
      </c>
      <c r="O350" s="1" t="s">
        <v>36</v>
      </c>
      <c r="P350" s="1" t="s">
        <v>720</v>
      </c>
    </row>
    <row r="351" spans="1:16" x14ac:dyDescent="0.3">
      <c r="A351" s="1" t="s">
        <v>1131</v>
      </c>
      <c r="B351" s="1" t="s">
        <v>1132</v>
      </c>
      <c r="C351" s="1"/>
      <c r="D351" s="16">
        <v>599</v>
      </c>
      <c r="E351" s="16">
        <v>127</v>
      </c>
      <c r="F351" s="5">
        <v>0.78</v>
      </c>
      <c r="G351" s="1" t="s">
        <v>32</v>
      </c>
      <c r="H351" s="1">
        <v>1</v>
      </c>
      <c r="I351" s="1" t="s">
        <v>20</v>
      </c>
      <c r="J351" s="1" t="s">
        <v>33</v>
      </c>
      <c r="K351" s="1" t="s">
        <v>34</v>
      </c>
      <c r="L351" s="1" t="s">
        <v>1244</v>
      </c>
      <c r="M351" s="1" t="s">
        <v>36</v>
      </c>
      <c r="N351" s="18">
        <v>2</v>
      </c>
      <c r="O351" s="1" t="s">
        <v>36</v>
      </c>
      <c r="P351" s="1" t="s">
        <v>38</v>
      </c>
    </row>
    <row r="352" spans="1:16" x14ac:dyDescent="0.3">
      <c r="A352" s="1" t="s">
        <v>1133</v>
      </c>
      <c r="B352" s="1" t="s">
        <v>1134</v>
      </c>
      <c r="C352" s="1"/>
      <c r="D352" s="16">
        <v>499</v>
      </c>
      <c r="E352" s="16">
        <v>242</v>
      </c>
      <c r="F352" s="5">
        <v>0.51</v>
      </c>
      <c r="G352" s="1" t="s">
        <v>32</v>
      </c>
      <c r="H352" s="1">
        <v>1</v>
      </c>
      <c r="I352" s="1" t="s">
        <v>20</v>
      </c>
      <c r="J352" s="1" t="s">
        <v>105</v>
      </c>
      <c r="K352" s="1" t="s">
        <v>34</v>
      </c>
      <c r="L352" s="1" t="s">
        <v>1244</v>
      </c>
      <c r="M352" s="1" t="s">
        <v>36</v>
      </c>
      <c r="N352" s="18">
        <v>10</v>
      </c>
      <c r="O352" s="1" t="s">
        <v>36</v>
      </c>
      <c r="P352" s="1" t="s">
        <v>1136</v>
      </c>
    </row>
    <row r="353" spans="1:16" x14ac:dyDescent="0.3">
      <c r="A353" s="1" t="s">
        <v>1137</v>
      </c>
      <c r="B353" s="1" t="s">
        <v>1138</v>
      </c>
      <c r="C353" s="1"/>
      <c r="D353" s="16">
        <v>599</v>
      </c>
      <c r="E353" s="16">
        <v>128</v>
      </c>
      <c r="F353" s="5">
        <v>0.78</v>
      </c>
      <c r="G353" s="1" t="s">
        <v>19</v>
      </c>
      <c r="H353" s="1">
        <v>2</v>
      </c>
      <c r="I353" s="1" t="s">
        <v>20</v>
      </c>
      <c r="J353" s="1" t="s">
        <v>43</v>
      </c>
      <c r="K353" s="1" t="s">
        <v>34</v>
      </c>
      <c r="L353" s="1" t="s">
        <v>23</v>
      </c>
      <c r="M353" s="1" t="s">
        <v>24</v>
      </c>
      <c r="N353" s="18">
        <v>2</v>
      </c>
      <c r="O353" s="1" t="s">
        <v>36</v>
      </c>
      <c r="P353" s="1" t="s">
        <v>1139</v>
      </c>
    </row>
    <row r="354" spans="1:16" x14ac:dyDescent="0.3">
      <c r="A354" s="1" t="s">
        <v>1140</v>
      </c>
      <c r="B354" s="1" t="s">
        <v>1141</v>
      </c>
      <c r="C354" s="1"/>
      <c r="D354" s="16">
        <v>599</v>
      </c>
      <c r="E354" s="16">
        <v>134</v>
      </c>
      <c r="F354" s="5">
        <v>0.77</v>
      </c>
      <c r="G354" s="1" t="s">
        <v>32</v>
      </c>
      <c r="H354" s="1">
        <v>1</v>
      </c>
      <c r="I354" s="1" t="s">
        <v>20</v>
      </c>
      <c r="J354" s="1" t="s">
        <v>91</v>
      </c>
      <c r="K354" s="1" t="s">
        <v>22</v>
      </c>
      <c r="L354" s="1" t="s">
        <v>23</v>
      </c>
      <c r="M354" s="1" t="s">
        <v>24</v>
      </c>
      <c r="N354" s="18">
        <v>2</v>
      </c>
      <c r="O354" s="1" t="s">
        <v>36</v>
      </c>
      <c r="P354" s="1" t="s">
        <v>1142</v>
      </c>
    </row>
    <row r="355" spans="1:16" x14ac:dyDescent="0.3">
      <c r="A355" s="1" t="s">
        <v>1143</v>
      </c>
      <c r="B355" s="1" t="s">
        <v>1144</v>
      </c>
      <c r="C355" s="1"/>
      <c r="D355" s="16">
        <v>599</v>
      </c>
      <c r="E355" s="16">
        <v>126</v>
      </c>
      <c r="F355" s="5">
        <v>0.78</v>
      </c>
      <c r="G355" s="1" t="s">
        <v>32</v>
      </c>
      <c r="H355" s="1">
        <v>1</v>
      </c>
      <c r="I355" s="1" t="s">
        <v>20</v>
      </c>
      <c r="J355" s="1" t="s">
        <v>33</v>
      </c>
      <c r="K355" s="1" t="s">
        <v>34</v>
      </c>
      <c r="L355" s="1" t="s">
        <v>1244</v>
      </c>
      <c r="M355" s="1" t="s">
        <v>36</v>
      </c>
      <c r="N355" s="18">
        <v>2</v>
      </c>
      <c r="O355" s="1" t="s">
        <v>36</v>
      </c>
      <c r="P355" s="1" t="s">
        <v>38</v>
      </c>
    </row>
    <row r="356" spans="1:16" x14ac:dyDescent="0.3">
      <c r="A356" s="1" t="s">
        <v>1145</v>
      </c>
      <c r="B356" s="1" t="s">
        <v>1146</v>
      </c>
      <c r="C356" s="1"/>
      <c r="D356" s="16">
        <v>349</v>
      </c>
      <c r="E356" s="16">
        <v>199</v>
      </c>
      <c r="F356" s="5">
        <v>0.42</v>
      </c>
      <c r="G356" s="1" t="s">
        <v>32</v>
      </c>
      <c r="H356" s="1">
        <v>1</v>
      </c>
      <c r="I356" s="1" t="s">
        <v>20</v>
      </c>
      <c r="J356" s="1" t="s">
        <v>243</v>
      </c>
      <c r="K356" s="1" t="s">
        <v>34</v>
      </c>
      <c r="L356" s="1" t="s">
        <v>23</v>
      </c>
      <c r="M356" s="1" t="s">
        <v>24</v>
      </c>
      <c r="N356" s="18">
        <v>2</v>
      </c>
      <c r="O356" s="1" t="s">
        <v>24</v>
      </c>
      <c r="P356" s="1" t="s">
        <v>106</v>
      </c>
    </row>
    <row r="357" spans="1:16" x14ac:dyDescent="0.3">
      <c r="A357" s="1" t="s">
        <v>1147</v>
      </c>
      <c r="B357" s="1" t="s">
        <v>1148</v>
      </c>
      <c r="C357" s="1"/>
      <c r="D357" s="16">
        <v>299</v>
      </c>
      <c r="E357" s="16">
        <v>170</v>
      </c>
      <c r="F357" s="5">
        <v>0.43</v>
      </c>
      <c r="G357" s="1" t="s">
        <v>32</v>
      </c>
      <c r="H357" s="1">
        <v>1</v>
      </c>
      <c r="I357" s="1" t="s">
        <v>20</v>
      </c>
      <c r="J357" s="1" t="s">
        <v>105</v>
      </c>
      <c r="K357" s="1" t="s">
        <v>34</v>
      </c>
      <c r="L357" s="1" t="s">
        <v>23</v>
      </c>
      <c r="M357" s="1" t="s">
        <v>36</v>
      </c>
      <c r="N357" s="18">
        <v>12</v>
      </c>
      <c r="O357" s="1" t="s">
        <v>36</v>
      </c>
      <c r="P357" s="1" t="s">
        <v>1150</v>
      </c>
    </row>
    <row r="358" spans="1:16" x14ac:dyDescent="0.3">
      <c r="A358" s="1" t="s">
        <v>1151</v>
      </c>
      <c r="B358" s="1" t="s">
        <v>1152</v>
      </c>
      <c r="C358" s="1"/>
      <c r="D358" s="16">
        <v>299</v>
      </c>
      <c r="E358" s="16">
        <v>142</v>
      </c>
      <c r="F358" s="5">
        <v>0.52</v>
      </c>
      <c r="G358" s="1" t="s">
        <v>32</v>
      </c>
      <c r="H358" s="1">
        <v>1</v>
      </c>
      <c r="I358" s="1" t="s">
        <v>20</v>
      </c>
      <c r="J358" s="1" t="s">
        <v>135</v>
      </c>
      <c r="K358" s="1" t="s">
        <v>22</v>
      </c>
      <c r="L358" s="1" t="s">
        <v>1244</v>
      </c>
      <c r="M358" s="1" t="s">
        <v>24</v>
      </c>
      <c r="N358" s="18">
        <v>2</v>
      </c>
      <c r="O358" s="1" t="s">
        <v>36</v>
      </c>
      <c r="P358" s="1" t="s">
        <v>1153</v>
      </c>
    </row>
    <row r="359" spans="1:16" x14ac:dyDescent="0.3">
      <c r="A359" s="1" t="s">
        <v>1154</v>
      </c>
      <c r="B359" s="1" t="s">
        <v>1155</v>
      </c>
      <c r="C359" s="1"/>
      <c r="D359" s="16">
        <v>600</v>
      </c>
      <c r="E359" s="16">
        <v>121</v>
      </c>
      <c r="F359" s="5">
        <v>0.79</v>
      </c>
      <c r="G359" s="1" t="s">
        <v>32</v>
      </c>
      <c r="H359" s="1">
        <v>1</v>
      </c>
      <c r="I359" s="1" t="s">
        <v>20</v>
      </c>
      <c r="J359" s="1" t="s">
        <v>33</v>
      </c>
      <c r="K359" s="1" t="s">
        <v>34</v>
      </c>
      <c r="L359" s="1" t="s">
        <v>1244</v>
      </c>
      <c r="M359" s="1" t="s">
        <v>36</v>
      </c>
      <c r="N359" s="18">
        <v>2</v>
      </c>
      <c r="O359" s="1" t="s">
        <v>36</v>
      </c>
      <c r="P359" s="1" t="s">
        <v>440</v>
      </c>
    </row>
    <row r="360" spans="1:16" x14ac:dyDescent="0.3">
      <c r="A360" s="1" t="s">
        <v>1157</v>
      </c>
      <c r="B360" s="1" t="s">
        <v>889</v>
      </c>
      <c r="C360" s="1"/>
      <c r="D360" s="16">
        <v>595</v>
      </c>
      <c r="E360" s="16">
        <v>137</v>
      </c>
      <c r="F360" s="5">
        <v>0.76</v>
      </c>
      <c r="G360" s="1" t="s">
        <v>32</v>
      </c>
      <c r="H360" s="1">
        <v>1</v>
      </c>
      <c r="I360" s="1" t="s">
        <v>20</v>
      </c>
      <c r="J360" s="1" t="s">
        <v>33</v>
      </c>
      <c r="K360" s="1" t="s">
        <v>22</v>
      </c>
      <c r="L360" s="1" t="s">
        <v>1244</v>
      </c>
      <c r="M360" s="1" t="s">
        <v>24</v>
      </c>
      <c r="N360" s="18">
        <v>2</v>
      </c>
      <c r="O360" s="1" t="s">
        <v>36</v>
      </c>
      <c r="P360" s="1" t="s">
        <v>891</v>
      </c>
    </row>
    <row r="361" spans="1:16" x14ac:dyDescent="0.3">
      <c r="A361" s="1" t="s">
        <v>1158</v>
      </c>
      <c r="B361" s="1" t="s">
        <v>1159</v>
      </c>
      <c r="C361" s="1"/>
      <c r="D361" s="16">
        <v>349</v>
      </c>
      <c r="E361" s="16">
        <v>199</v>
      </c>
      <c r="F361" s="5">
        <v>0.42</v>
      </c>
      <c r="G361" s="1" t="s">
        <v>32</v>
      </c>
      <c r="H361" s="1">
        <v>1</v>
      </c>
      <c r="I361" s="1" t="s">
        <v>20</v>
      </c>
      <c r="J361" s="1" t="s">
        <v>243</v>
      </c>
      <c r="K361" s="1" t="s">
        <v>34</v>
      </c>
      <c r="L361" s="1" t="s">
        <v>23</v>
      </c>
      <c r="M361" s="1" t="s">
        <v>24</v>
      </c>
      <c r="N361" s="18">
        <v>2</v>
      </c>
      <c r="O361" s="1" t="s">
        <v>24</v>
      </c>
      <c r="P361" s="1" t="s">
        <v>106</v>
      </c>
    </row>
    <row r="362" spans="1:16" x14ac:dyDescent="0.3">
      <c r="A362" s="1" t="s">
        <v>1160</v>
      </c>
      <c r="B362" s="1" t="s">
        <v>418</v>
      </c>
      <c r="C362" s="1"/>
      <c r="D362" s="16">
        <v>421</v>
      </c>
      <c r="E362" s="16">
        <v>171</v>
      </c>
      <c r="F362" s="5">
        <v>0.59</v>
      </c>
      <c r="G362" s="1" t="s">
        <v>32</v>
      </c>
      <c r="H362" s="1">
        <v>1</v>
      </c>
      <c r="I362" s="1" t="s">
        <v>20</v>
      </c>
      <c r="J362" s="1" t="s">
        <v>105</v>
      </c>
      <c r="K362" s="1" t="s">
        <v>34</v>
      </c>
      <c r="L362" s="1" t="s">
        <v>23</v>
      </c>
      <c r="M362" s="1" t="s">
        <v>36</v>
      </c>
      <c r="N362" s="18">
        <v>12</v>
      </c>
      <c r="O362" s="1" t="s">
        <v>36</v>
      </c>
      <c r="P362" s="1" t="s">
        <v>257</v>
      </c>
    </row>
    <row r="363" spans="1:16" x14ac:dyDescent="0.3">
      <c r="A363" s="1" t="s">
        <v>1162</v>
      </c>
      <c r="B363" s="1" t="s">
        <v>1163</v>
      </c>
      <c r="C363" s="1"/>
      <c r="D363" s="16">
        <v>495</v>
      </c>
      <c r="E363" s="16">
        <v>299</v>
      </c>
      <c r="F363" s="5">
        <v>0.39</v>
      </c>
      <c r="G363" s="1" t="s">
        <v>32</v>
      </c>
      <c r="H363" s="1">
        <v>1</v>
      </c>
      <c r="I363" s="1" t="s">
        <v>20</v>
      </c>
      <c r="J363" s="1" t="s">
        <v>98</v>
      </c>
      <c r="K363" s="1" t="s">
        <v>34</v>
      </c>
      <c r="L363" s="1" t="s">
        <v>23</v>
      </c>
      <c r="M363" s="1" t="s">
        <v>36</v>
      </c>
      <c r="N363" s="18">
        <v>2</v>
      </c>
      <c r="O363" s="1" t="s">
        <v>36</v>
      </c>
      <c r="P363" s="1" t="s">
        <v>106</v>
      </c>
    </row>
    <row r="364" spans="1:16" x14ac:dyDescent="0.3">
      <c r="A364" s="1" t="s">
        <v>1165</v>
      </c>
      <c r="B364" s="1" t="s">
        <v>857</v>
      </c>
      <c r="C364" s="1"/>
      <c r="D364" s="16">
        <v>599</v>
      </c>
      <c r="E364" s="16">
        <v>169</v>
      </c>
      <c r="F364" s="5">
        <v>0.71</v>
      </c>
      <c r="G364" s="1" t="s">
        <v>19</v>
      </c>
      <c r="H364" s="1">
        <v>2</v>
      </c>
      <c r="I364" s="1" t="s">
        <v>20</v>
      </c>
      <c r="J364" s="1" t="s">
        <v>322</v>
      </c>
      <c r="K364" s="1" t="s">
        <v>22</v>
      </c>
      <c r="L364" s="1" t="s">
        <v>1244</v>
      </c>
      <c r="M364" s="1" t="s">
        <v>24</v>
      </c>
      <c r="N364" s="18">
        <v>2</v>
      </c>
      <c r="O364" s="1" t="s">
        <v>36</v>
      </c>
      <c r="P364" s="1" t="s">
        <v>858</v>
      </c>
    </row>
    <row r="365" spans="1:16" x14ac:dyDescent="0.3">
      <c r="A365" s="1" t="s">
        <v>1166</v>
      </c>
      <c r="B365" s="1" t="s">
        <v>1167</v>
      </c>
      <c r="C365" s="1"/>
      <c r="D365" s="16">
        <v>1533</v>
      </c>
      <c r="E365" s="16">
        <v>399</v>
      </c>
      <c r="F365" s="5">
        <v>0.73</v>
      </c>
      <c r="G365" s="1" t="s">
        <v>32</v>
      </c>
      <c r="H365" s="1">
        <v>1</v>
      </c>
      <c r="I365" s="1" t="s">
        <v>20</v>
      </c>
      <c r="J365" s="1" t="s">
        <v>43</v>
      </c>
      <c r="K365" s="1" t="s">
        <v>34</v>
      </c>
      <c r="L365" s="1" t="s">
        <v>1244</v>
      </c>
      <c r="M365" s="1" t="s">
        <v>24</v>
      </c>
      <c r="N365" s="18">
        <v>2</v>
      </c>
      <c r="O365" s="1" t="s">
        <v>24</v>
      </c>
      <c r="P365" s="1" t="s">
        <v>1169</v>
      </c>
    </row>
    <row r="366" spans="1:16" x14ac:dyDescent="0.3">
      <c r="A366" s="1" t="s">
        <v>1170</v>
      </c>
      <c r="B366" s="1" t="s">
        <v>1171</v>
      </c>
      <c r="C366" s="1"/>
      <c r="D366" s="16">
        <v>399</v>
      </c>
      <c r="E366" s="16">
        <v>249</v>
      </c>
      <c r="F366" s="5">
        <v>0.37</v>
      </c>
      <c r="G366" s="1" t="s">
        <v>32</v>
      </c>
      <c r="H366" s="1">
        <v>1</v>
      </c>
      <c r="I366" s="1" t="s">
        <v>20</v>
      </c>
      <c r="J366" s="1" t="s">
        <v>105</v>
      </c>
      <c r="K366" s="1" t="s">
        <v>34</v>
      </c>
      <c r="L366" s="1" t="s">
        <v>23</v>
      </c>
      <c r="M366" s="1" t="s">
        <v>36</v>
      </c>
      <c r="N366" s="18">
        <v>2</v>
      </c>
      <c r="O366" s="1" t="s">
        <v>24</v>
      </c>
      <c r="P366" s="1" t="s">
        <v>106</v>
      </c>
    </row>
    <row r="367" spans="1:16" x14ac:dyDescent="0.3">
      <c r="A367" s="1" t="s">
        <v>1172</v>
      </c>
      <c r="B367" s="1" t="s">
        <v>138</v>
      </c>
      <c r="C367" s="1"/>
      <c r="D367" s="16">
        <v>349</v>
      </c>
      <c r="E367" s="16">
        <v>129</v>
      </c>
      <c r="F367" s="5">
        <v>0.63</v>
      </c>
      <c r="G367" s="1" t="s">
        <v>32</v>
      </c>
      <c r="H367" s="1">
        <v>1</v>
      </c>
      <c r="I367" s="1" t="s">
        <v>20</v>
      </c>
      <c r="J367" s="1" t="s">
        <v>33</v>
      </c>
      <c r="K367" s="1" t="s">
        <v>22</v>
      </c>
      <c r="L367" s="1" t="s">
        <v>1244</v>
      </c>
      <c r="M367" s="1" t="s">
        <v>24</v>
      </c>
      <c r="N367" s="18">
        <v>1</v>
      </c>
      <c r="O367" s="1" t="s">
        <v>36</v>
      </c>
      <c r="P367" s="1" t="s">
        <v>87</v>
      </c>
    </row>
    <row r="368" spans="1:16" x14ac:dyDescent="0.3">
      <c r="A368" s="1" t="s">
        <v>1173</v>
      </c>
      <c r="B368" s="1" t="s">
        <v>867</v>
      </c>
      <c r="C368" s="1"/>
      <c r="D368" s="16">
        <v>499</v>
      </c>
      <c r="E368" s="16">
        <v>134</v>
      </c>
      <c r="F368" s="5">
        <v>0.73</v>
      </c>
      <c r="G368" s="1" t="s">
        <v>19</v>
      </c>
      <c r="H368" s="1">
        <v>2</v>
      </c>
      <c r="I368" s="1" t="s">
        <v>20</v>
      </c>
      <c r="J368" s="1" t="s">
        <v>43</v>
      </c>
      <c r="K368" s="1" t="s">
        <v>22</v>
      </c>
      <c r="L368" s="1" t="s">
        <v>1244</v>
      </c>
      <c r="M368" s="1" t="s">
        <v>24</v>
      </c>
      <c r="N368" s="18">
        <v>2</v>
      </c>
      <c r="O368" s="1" t="s">
        <v>36</v>
      </c>
      <c r="P368" s="1" t="s">
        <v>858</v>
      </c>
    </row>
    <row r="369" spans="1:16" x14ac:dyDescent="0.3">
      <c r="A369" s="1" t="s">
        <v>1174</v>
      </c>
      <c r="B369" s="1" t="s">
        <v>1175</v>
      </c>
      <c r="C369" s="1"/>
      <c r="D369" s="16">
        <v>499</v>
      </c>
      <c r="E369" s="16">
        <v>349</v>
      </c>
      <c r="F369" s="5">
        <v>0.3</v>
      </c>
      <c r="G369" s="1" t="s">
        <v>32</v>
      </c>
      <c r="H369" s="1">
        <v>1</v>
      </c>
      <c r="I369" s="1" t="s">
        <v>20</v>
      </c>
      <c r="J369" s="1" t="s">
        <v>105</v>
      </c>
      <c r="K369" s="1" t="s">
        <v>211</v>
      </c>
      <c r="L369" s="1" t="s">
        <v>23</v>
      </c>
      <c r="M369" s="1" t="s">
        <v>36</v>
      </c>
      <c r="N369" s="18">
        <v>2</v>
      </c>
      <c r="O369" s="1" t="s">
        <v>24</v>
      </c>
      <c r="P369" s="1" t="s">
        <v>106</v>
      </c>
    </row>
    <row r="370" spans="1:16" x14ac:dyDescent="0.3">
      <c r="A370" s="1" t="s">
        <v>1177</v>
      </c>
      <c r="B370" s="1" t="s">
        <v>1178</v>
      </c>
      <c r="C370" s="1"/>
      <c r="D370" s="16">
        <v>399</v>
      </c>
      <c r="E370" s="16">
        <v>125</v>
      </c>
      <c r="F370" s="5">
        <v>0.68</v>
      </c>
      <c r="G370" s="1" t="s">
        <v>32</v>
      </c>
      <c r="H370" s="1">
        <v>1</v>
      </c>
      <c r="I370" s="1" t="s">
        <v>20</v>
      </c>
      <c r="J370" s="1" t="s">
        <v>66</v>
      </c>
      <c r="K370" s="1" t="s">
        <v>34</v>
      </c>
      <c r="L370" s="1" t="s">
        <v>1244</v>
      </c>
      <c r="M370" s="1" t="s">
        <v>24</v>
      </c>
      <c r="N370" s="18">
        <v>2</v>
      </c>
      <c r="O370" s="1" t="s">
        <v>36</v>
      </c>
      <c r="P370" s="1" t="s">
        <v>158</v>
      </c>
    </row>
    <row r="371" spans="1:16" x14ac:dyDescent="0.3">
      <c r="A371" s="1" t="s">
        <v>1179</v>
      </c>
      <c r="B371" s="1" t="s">
        <v>1180</v>
      </c>
      <c r="C371" s="1"/>
      <c r="D371" s="16">
        <v>449</v>
      </c>
      <c r="E371" s="16">
        <v>329</v>
      </c>
      <c r="F371" s="5">
        <v>0.26</v>
      </c>
      <c r="G371" s="1" t="s">
        <v>32</v>
      </c>
      <c r="H371" s="1">
        <v>1</v>
      </c>
      <c r="I371" s="1" t="s">
        <v>20</v>
      </c>
      <c r="J371" s="1" t="s">
        <v>21</v>
      </c>
      <c r="K371" s="1" t="s">
        <v>211</v>
      </c>
      <c r="L371" s="1" t="s">
        <v>23</v>
      </c>
      <c r="M371" s="1" t="s">
        <v>24</v>
      </c>
      <c r="N371" s="18">
        <v>2</v>
      </c>
      <c r="O371" s="1" t="s">
        <v>24</v>
      </c>
      <c r="P371" s="1" t="s">
        <v>106</v>
      </c>
    </row>
    <row r="372" spans="1:16" x14ac:dyDescent="0.3">
      <c r="A372" s="1" t="s">
        <v>1182</v>
      </c>
      <c r="B372" s="1" t="s">
        <v>1183</v>
      </c>
      <c r="C372" s="1"/>
      <c r="D372" s="16">
        <v>499</v>
      </c>
      <c r="E372" s="16">
        <v>123</v>
      </c>
      <c r="F372" s="5">
        <v>0.75</v>
      </c>
      <c r="G372" s="1" t="s">
        <v>32</v>
      </c>
      <c r="H372" s="1">
        <v>1</v>
      </c>
      <c r="I372" s="1" t="s">
        <v>20</v>
      </c>
      <c r="J372" s="1" t="s">
        <v>66</v>
      </c>
      <c r="K372" s="1" t="s">
        <v>34</v>
      </c>
      <c r="L372" s="1" t="s">
        <v>1244</v>
      </c>
      <c r="M372" s="1" t="s">
        <v>24</v>
      </c>
      <c r="N372" s="18">
        <v>2</v>
      </c>
      <c r="O372" s="1" t="s">
        <v>36</v>
      </c>
      <c r="P372" s="1" t="s">
        <v>112</v>
      </c>
    </row>
    <row r="373" spans="1:16" x14ac:dyDescent="0.3">
      <c r="A373" s="1" t="s">
        <v>1184</v>
      </c>
      <c r="B373" s="1" t="s">
        <v>899</v>
      </c>
      <c r="C373" s="1"/>
      <c r="D373" s="16">
        <v>449</v>
      </c>
      <c r="E373" s="16">
        <v>271</v>
      </c>
      <c r="F373" s="5">
        <v>0.39</v>
      </c>
      <c r="G373" s="1" t="s">
        <v>32</v>
      </c>
      <c r="H373" s="1">
        <v>1</v>
      </c>
      <c r="I373" s="1" t="s">
        <v>20</v>
      </c>
      <c r="J373" s="1" t="s">
        <v>33</v>
      </c>
      <c r="K373" s="1" t="s">
        <v>22</v>
      </c>
      <c r="L373" s="1" t="s">
        <v>1244</v>
      </c>
      <c r="M373" s="1" t="s">
        <v>24</v>
      </c>
      <c r="N373" s="18">
        <v>1</v>
      </c>
      <c r="O373" s="1" t="s">
        <v>36</v>
      </c>
      <c r="P373" s="1" t="s">
        <v>900</v>
      </c>
    </row>
    <row r="374" spans="1:16" x14ac:dyDescent="0.3">
      <c r="A374" s="1" t="s">
        <v>1185</v>
      </c>
      <c r="B374" s="1" t="s">
        <v>1186</v>
      </c>
      <c r="C374" s="1"/>
      <c r="D374" s="16">
        <v>449</v>
      </c>
      <c r="E374" s="16">
        <v>299</v>
      </c>
      <c r="F374" s="5">
        <v>0.33</v>
      </c>
      <c r="G374" s="1" t="s">
        <v>32</v>
      </c>
      <c r="H374" s="1">
        <v>1</v>
      </c>
      <c r="I374" s="1" t="s">
        <v>20</v>
      </c>
      <c r="J374" s="1" t="s">
        <v>21</v>
      </c>
      <c r="K374" s="1" t="s">
        <v>34</v>
      </c>
      <c r="L374" s="1" t="s">
        <v>23</v>
      </c>
      <c r="M374" s="1" t="s">
        <v>24</v>
      </c>
      <c r="N374" s="18">
        <v>2</v>
      </c>
      <c r="O374" s="1" t="s">
        <v>24</v>
      </c>
      <c r="P374" s="1" t="s">
        <v>106</v>
      </c>
    </row>
    <row r="375" spans="1:16" x14ac:dyDescent="0.3">
      <c r="A375" s="1" t="s">
        <v>1187</v>
      </c>
      <c r="B375" s="1" t="s">
        <v>1186</v>
      </c>
      <c r="C375" s="1"/>
      <c r="D375" s="16">
        <v>449</v>
      </c>
      <c r="E375" s="16">
        <v>299</v>
      </c>
      <c r="F375" s="5">
        <v>0.33</v>
      </c>
      <c r="G375" s="1" t="s">
        <v>32</v>
      </c>
      <c r="H375" s="1">
        <v>1</v>
      </c>
      <c r="I375" s="1" t="s">
        <v>20</v>
      </c>
      <c r="J375" s="1" t="s">
        <v>21</v>
      </c>
      <c r="K375" s="1" t="s">
        <v>34</v>
      </c>
      <c r="L375" s="1" t="s">
        <v>23</v>
      </c>
      <c r="M375" s="1" t="s">
        <v>24</v>
      </c>
      <c r="N375" s="18">
        <v>2</v>
      </c>
      <c r="O375" s="1" t="s">
        <v>24</v>
      </c>
      <c r="P375" s="1" t="s">
        <v>106</v>
      </c>
    </row>
    <row r="376" spans="1:16" x14ac:dyDescent="0.3">
      <c r="A376" s="1" t="s">
        <v>1188</v>
      </c>
      <c r="B376" s="1" t="s">
        <v>1189</v>
      </c>
      <c r="C376" s="1"/>
      <c r="D376" s="16">
        <v>396</v>
      </c>
      <c r="E376" s="16">
        <v>177</v>
      </c>
      <c r="F376" s="5">
        <v>0.55000000000000004</v>
      </c>
      <c r="G376" s="1" t="s">
        <v>32</v>
      </c>
      <c r="H376" s="1">
        <v>1</v>
      </c>
      <c r="I376" s="1" t="s">
        <v>20</v>
      </c>
      <c r="J376" s="1" t="s">
        <v>98</v>
      </c>
      <c r="K376" s="1" t="s">
        <v>22</v>
      </c>
      <c r="L376" s="1" t="s">
        <v>1244</v>
      </c>
      <c r="M376" s="1" t="s">
        <v>36</v>
      </c>
      <c r="N376" s="18">
        <v>2</v>
      </c>
      <c r="O376" s="1" t="s">
        <v>36</v>
      </c>
      <c r="P376" s="1" t="s">
        <v>1193</v>
      </c>
    </row>
    <row r="377" spans="1:16" x14ac:dyDescent="0.3">
      <c r="A377" s="1" t="s">
        <v>1194</v>
      </c>
      <c r="B377" s="1" t="s">
        <v>873</v>
      </c>
      <c r="C377" s="1"/>
      <c r="D377" s="16">
        <v>789</v>
      </c>
      <c r="E377" s="16">
        <v>268</v>
      </c>
      <c r="F377" s="5">
        <v>0.66</v>
      </c>
      <c r="G377" s="1" t="s">
        <v>32</v>
      </c>
      <c r="H377" s="1">
        <v>1</v>
      </c>
      <c r="I377" s="1" t="s">
        <v>20</v>
      </c>
      <c r="J377" s="1" t="s">
        <v>43</v>
      </c>
      <c r="K377" s="1" t="s">
        <v>22</v>
      </c>
      <c r="L377" s="1" t="s">
        <v>1244</v>
      </c>
      <c r="M377" s="1" t="s">
        <v>24</v>
      </c>
      <c r="N377" s="18">
        <v>1</v>
      </c>
      <c r="O377" s="1" t="s">
        <v>36</v>
      </c>
      <c r="P377" s="1" t="s">
        <v>87</v>
      </c>
    </row>
    <row r="378" spans="1:16" x14ac:dyDescent="0.3">
      <c r="A378" s="1" t="s">
        <v>1196</v>
      </c>
      <c r="B378" s="1" t="s">
        <v>1197</v>
      </c>
      <c r="C378" s="1"/>
      <c r="D378" s="16">
        <v>299</v>
      </c>
      <c r="E378" s="16">
        <v>135</v>
      </c>
      <c r="F378" s="5">
        <v>0.54</v>
      </c>
      <c r="G378" s="1" t="s">
        <v>32</v>
      </c>
      <c r="H378" s="1">
        <v>1</v>
      </c>
      <c r="I378" s="1" t="s">
        <v>20</v>
      </c>
      <c r="J378" s="1" t="s">
        <v>66</v>
      </c>
      <c r="K378" s="1" t="s">
        <v>22</v>
      </c>
      <c r="L378" s="1" t="s">
        <v>1244</v>
      </c>
      <c r="M378" s="1" t="s">
        <v>36</v>
      </c>
      <c r="N378" s="18">
        <v>0.6</v>
      </c>
      <c r="O378" s="1" t="s">
        <v>36</v>
      </c>
      <c r="P378" s="1" t="s">
        <v>602</v>
      </c>
    </row>
    <row r="379" spans="1:16" x14ac:dyDescent="0.3">
      <c r="A379" s="1" t="s">
        <v>1198</v>
      </c>
      <c r="B379" s="1" t="s">
        <v>1199</v>
      </c>
      <c r="C379" s="1"/>
      <c r="D379" s="16">
        <v>499</v>
      </c>
      <c r="E379" s="16">
        <v>165</v>
      </c>
      <c r="F379" s="5">
        <v>0.66</v>
      </c>
      <c r="G379" s="1" t="s">
        <v>32</v>
      </c>
      <c r="H379" s="1">
        <v>1</v>
      </c>
      <c r="I379" s="1" t="s">
        <v>20</v>
      </c>
      <c r="J379" s="1" t="s">
        <v>43</v>
      </c>
      <c r="K379" s="1" t="s">
        <v>22</v>
      </c>
      <c r="L379" s="1" t="s">
        <v>1244</v>
      </c>
      <c r="M379" s="1" t="s">
        <v>24</v>
      </c>
      <c r="N379" s="18">
        <v>1</v>
      </c>
      <c r="O379" s="1" t="s">
        <v>36</v>
      </c>
      <c r="P379" s="1" t="s">
        <v>73</v>
      </c>
    </row>
    <row r="380" spans="1:16" x14ac:dyDescent="0.3">
      <c r="A380" s="1" t="s">
        <v>1200</v>
      </c>
      <c r="B380" s="1" t="s">
        <v>1186</v>
      </c>
      <c r="C380" s="1"/>
      <c r="D380" s="16">
        <v>555</v>
      </c>
      <c r="E380" s="16">
        <v>329</v>
      </c>
      <c r="F380" s="5">
        <v>0.4</v>
      </c>
      <c r="G380" s="1" t="s">
        <v>32</v>
      </c>
      <c r="H380" s="1">
        <v>1</v>
      </c>
      <c r="I380" s="1" t="s">
        <v>20</v>
      </c>
      <c r="J380" s="1" t="s">
        <v>21</v>
      </c>
      <c r="K380" s="1" t="s">
        <v>211</v>
      </c>
      <c r="L380" s="1" t="s">
        <v>23</v>
      </c>
      <c r="M380" s="1" t="s">
        <v>24</v>
      </c>
      <c r="N380" s="18">
        <v>2</v>
      </c>
      <c r="O380" s="1" t="s">
        <v>24</v>
      </c>
      <c r="P380" s="1" t="s">
        <v>106</v>
      </c>
    </row>
    <row r="381" spans="1:16" x14ac:dyDescent="0.3">
      <c r="A381" s="1" t="s">
        <v>1202</v>
      </c>
      <c r="B381" s="1" t="s">
        <v>1203</v>
      </c>
      <c r="C381" s="1"/>
      <c r="D381" s="16">
        <v>449</v>
      </c>
      <c r="E381" s="16">
        <v>329</v>
      </c>
      <c r="F381" s="5">
        <v>0.26</v>
      </c>
      <c r="G381" s="1" t="s">
        <v>32</v>
      </c>
      <c r="H381" s="1">
        <v>1</v>
      </c>
      <c r="I381" s="1" t="s">
        <v>20</v>
      </c>
      <c r="J381" s="1" t="s">
        <v>21</v>
      </c>
      <c r="K381" s="1" t="s">
        <v>211</v>
      </c>
      <c r="L381" s="1" t="s">
        <v>23</v>
      </c>
      <c r="M381" s="1" t="s">
        <v>24</v>
      </c>
      <c r="N381" s="18">
        <v>2</v>
      </c>
      <c r="O381" s="1" t="s">
        <v>24</v>
      </c>
      <c r="P381" s="1" t="s">
        <v>106</v>
      </c>
    </row>
    <row r="382" spans="1:16" x14ac:dyDescent="0.3">
      <c r="A382" s="1" t="s">
        <v>1204</v>
      </c>
      <c r="B382" s="1" t="s">
        <v>1205</v>
      </c>
      <c r="C382" s="1"/>
      <c r="D382" s="16">
        <v>399</v>
      </c>
      <c r="E382" s="16">
        <v>133</v>
      </c>
      <c r="F382" s="5">
        <v>0.66</v>
      </c>
      <c r="G382" s="1" t="s">
        <v>32</v>
      </c>
      <c r="H382" s="1" t="s">
        <v>25</v>
      </c>
      <c r="I382" s="1" t="s">
        <v>20</v>
      </c>
      <c r="J382" s="1" t="s">
        <v>33</v>
      </c>
      <c r="K382" s="1" t="s">
        <v>22</v>
      </c>
      <c r="L382" s="1" t="s">
        <v>1244</v>
      </c>
      <c r="M382" s="1" t="s">
        <v>24</v>
      </c>
      <c r="N382" s="18">
        <v>1</v>
      </c>
      <c r="O382" s="1" t="s">
        <v>36</v>
      </c>
      <c r="P382" s="1" t="s">
        <v>87</v>
      </c>
    </row>
    <row r="383" spans="1:16" x14ac:dyDescent="0.3">
      <c r="A383" s="1" t="s">
        <v>1206</v>
      </c>
      <c r="B383" s="1" t="s">
        <v>899</v>
      </c>
      <c r="C383" s="1"/>
      <c r="D383" s="16">
        <v>419</v>
      </c>
      <c r="E383" s="16">
        <v>289</v>
      </c>
      <c r="F383" s="5">
        <v>0.31</v>
      </c>
      <c r="G383" s="1" t="s">
        <v>32</v>
      </c>
      <c r="H383" s="1">
        <v>1</v>
      </c>
      <c r="I383" s="1" t="s">
        <v>20</v>
      </c>
      <c r="J383" s="1" t="s">
        <v>33</v>
      </c>
      <c r="K383" s="1" t="s">
        <v>22</v>
      </c>
      <c r="L383" s="1" t="s">
        <v>1244</v>
      </c>
      <c r="M383" s="1" t="s">
        <v>24</v>
      </c>
      <c r="N383" s="18">
        <v>1</v>
      </c>
      <c r="O383" s="1" t="s">
        <v>36</v>
      </c>
      <c r="P383" s="1" t="s">
        <v>900</v>
      </c>
    </row>
    <row r="384" spans="1:16" x14ac:dyDescent="0.3">
      <c r="A384" s="1" t="s">
        <v>1207</v>
      </c>
      <c r="B384" s="1" t="s">
        <v>1208</v>
      </c>
      <c r="C384" s="1"/>
      <c r="D384" s="16">
        <v>595</v>
      </c>
      <c r="E384" s="16">
        <v>299</v>
      </c>
      <c r="F384" s="5">
        <v>0.49</v>
      </c>
      <c r="G384" s="1" t="s">
        <v>32</v>
      </c>
      <c r="H384" s="1">
        <v>1</v>
      </c>
      <c r="I384" s="1" t="s">
        <v>20</v>
      </c>
      <c r="J384" s="1" t="s">
        <v>21</v>
      </c>
      <c r="K384" s="1" t="s">
        <v>211</v>
      </c>
      <c r="L384" s="1" t="s">
        <v>23</v>
      </c>
      <c r="M384" s="1" t="s">
        <v>24</v>
      </c>
      <c r="N384" s="18">
        <v>2</v>
      </c>
      <c r="O384" s="1" t="s">
        <v>24</v>
      </c>
      <c r="P384" s="1" t="s">
        <v>106</v>
      </c>
    </row>
    <row r="385" spans="1:16" x14ac:dyDescent="0.3">
      <c r="A385" s="1" t="s">
        <v>1209</v>
      </c>
      <c r="B385" s="1" t="s">
        <v>1208</v>
      </c>
      <c r="C385" s="1"/>
      <c r="D385" s="16">
        <v>449</v>
      </c>
      <c r="E385" s="16">
        <v>299</v>
      </c>
      <c r="F385" s="5">
        <v>0.33</v>
      </c>
      <c r="G385" s="1" t="s">
        <v>32</v>
      </c>
      <c r="H385" s="1">
        <v>1</v>
      </c>
      <c r="I385" s="1" t="s">
        <v>20</v>
      </c>
      <c r="J385" s="1" t="s">
        <v>21</v>
      </c>
      <c r="K385" s="1" t="s">
        <v>211</v>
      </c>
      <c r="L385" s="1" t="s">
        <v>23</v>
      </c>
      <c r="M385" s="1" t="s">
        <v>24</v>
      </c>
      <c r="N385" s="18">
        <v>2</v>
      </c>
      <c r="O385" s="1" t="s">
        <v>24</v>
      </c>
      <c r="P385" s="1" t="s">
        <v>106</v>
      </c>
    </row>
    <row r="386" spans="1:16" x14ac:dyDescent="0.3">
      <c r="A386" s="1" t="s">
        <v>1210</v>
      </c>
      <c r="B386" s="1" t="s">
        <v>1211</v>
      </c>
      <c r="C386" s="1"/>
      <c r="D386" s="16">
        <v>449</v>
      </c>
      <c r="E386" s="16">
        <v>179</v>
      </c>
      <c r="F386" s="5">
        <v>0.6</v>
      </c>
      <c r="G386" s="1" t="s">
        <v>19</v>
      </c>
      <c r="H386" s="1">
        <v>2</v>
      </c>
      <c r="I386" s="1" t="s">
        <v>20</v>
      </c>
      <c r="J386" s="1" t="s">
        <v>66</v>
      </c>
      <c r="K386" s="1" t="s">
        <v>34</v>
      </c>
      <c r="L386" s="1" t="s">
        <v>1244</v>
      </c>
      <c r="M386" s="1" t="s">
        <v>24</v>
      </c>
      <c r="N386" s="18">
        <v>0.5</v>
      </c>
      <c r="O386" s="1" t="s">
        <v>36</v>
      </c>
      <c r="P386" s="1" t="s">
        <v>213</v>
      </c>
    </row>
    <row r="387" spans="1:16" x14ac:dyDescent="0.3">
      <c r="A387" s="1" t="s">
        <v>1212</v>
      </c>
      <c r="B387" s="1" t="s">
        <v>1213</v>
      </c>
      <c r="C387" s="1"/>
      <c r="D387" s="16">
        <v>349</v>
      </c>
      <c r="E387" s="16">
        <v>199</v>
      </c>
      <c r="F387" s="5">
        <v>0.42</v>
      </c>
      <c r="G387" s="1" t="s">
        <v>32</v>
      </c>
      <c r="H387" s="1">
        <v>1</v>
      </c>
      <c r="I387" s="1" t="s">
        <v>20</v>
      </c>
      <c r="J387" s="1" t="s">
        <v>383</v>
      </c>
      <c r="K387" s="1" t="s">
        <v>34</v>
      </c>
      <c r="L387" s="1" t="s">
        <v>23</v>
      </c>
      <c r="M387" s="1" t="s">
        <v>24</v>
      </c>
      <c r="N387" s="18">
        <v>2</v>
      </c>
      <c r="O387" s="1" t="s">
        <v>24</v>
      </c>
      <c r="P387" s="1" t="s">
        <v>106</v>
      </c>
    </row>
    <row r="388" spans="1:16" x14ac:dyDescent="0.3">
      <c r="A388" s="1" t="s">
        <v>1214</v>
      </c>
      <c r="B388" s="1" t="s">
        <v>899</v>
      </c>
      <c r="C388" s="1"/>
      <c r="D388" s="16">
        <v>425</v>
      </c>
      <c r="E388" s="16">
        <v>275</v>
      </c>
      <c r="F388" s="5">
        <v>0.35</v>
      </c>
      <c r="G388" s="1" t="s">
        <v>32</v>
      </c>
      <c r="H388" s="1">
        <v>1</v>
      </c>
      <c r="I388" s="1" t="s">
        <v>20</v>
      </c>
      <c r="J388" s="1" t="s">
        <v>33</v>
      </c>
      <c r="K388" s="1" t="s">
        <v>22</v>
      </c>
      <c r="L388" s="1" t="s">
        <v>1244</v>
      </c>
      <c r="M388" s="1" t="s">
        <v>24</v>
      </c>
      <c r="N388" s="18">
        <v>1</v>
      </c>
      <c r="O388" s="1" t="s">
        <v>36</v>
      </c>
      <c r="P388" s="1" t="s">
        <v>900</v>
      </c>
    </row>
    <row r="389" spans="1:16" x14ac:dyDescent="0.3">
      <c r="A389" s="1" t="s">
        <v>1215</v>
      </c>
      <c r="B389" s="1" t="s">
        <v>1216</v>
      </c>
      <c r="C389" s="1"/>
      <c r="D389" s="16">
        <v>499</v>
      </c>
      <c r="E389" s="16">
        <v>249</v>
      </c>
      <c r="F389" s="5">
        <v>0.5</v>
      </c>
      <c r="G389" s="1" t="s">
        <v>32</v>
      </c>
      <c r="H389" s="1">
        <v>1</v>
      </c>
      <c r="I389" s="1" t="s">
        <v>20</v>
      </c>
      <c r="J389" s="1" t="s">
        <v>243</v>
      </c>
      <c r="K389" s="1" t="s">
        <v>34</v>
      </c>
      <c r="L389" s="1" t="s">
        <v>23</v>
      </c>
      <c r="M389" s="1" t="s">
        <v>24</v>
      </c>
      <c r="N389" s="18">
        <v>2</v>
      </c>
      <c r="O389" s="1" t="s">
        <v>24</v>
      </c>
      <c r="P389" s="1" t="s">
        <v>106</v>
      </c>
    </row>
    <row r="390" spans="1:16" x14ac:dyDescent="0.3">
      <c r="A390" s="1" t="s">
        <v>1217</v>
      </c>
      <c r="B390" s="1" t="s">
        <v>1208</v>
      </c>
      <c r="C390" s="1"/>
      <c r="D390" s="16">
        <v>449</v>
      </c>
      <c r="E390" s="16">
        <v>299</v>
      </c>
      <c r="F390" s="5">
        <v>0.33</v>
      </c>
      <c r="G390" s="1" t="s">
        <v>32</v>
      </c>
      <c r="H390" s="1">
        <v>1</v>
      </c>
      <c r="I390" s="1" t="s">
        <v>20</v>
      </c>
      <c r="J390" s="1" t="s">
        <v>21</v>
      </c>
      <c r="K390" s="1" t="s">
        <v>211</v>
      </c>
      <c r="L390" s="1" t="s">
        <v>23</v>
      </c>
      <c r="M390" s="1" t="s">
        <v>24</v>
      </c>
      <c r="N390" s="18">
        <v>2</v>
      </c>
      <c r="O390" s="1" t="s">
        <v>24</v>
      </c>
      <c r="P390" s="1" t="s">
        <v>106</v>
      </c>
    </row>
    <row r="391" spans="1:16" x14ac:dyDescent="0.3">
      <c r="A391" s="1" t="s">
        <v>1218</v>
      </c>
      <c r="B391" s="1" t="s">
        <v>1219</v>
      </c>
      <c r="C391" s="1"/>
      <c r="D391" s="16">
        <v>999</v>
      </c>
      <c r="E391" s="16">
        <v>379</v>
      </c>
      <c r="F391" s="5">
        <v>0.62</v>
      </c>
      <c r="G391" s="1" t="s">
        <v>19</v>
      </c>
      <c r="H391" s="1">
        <v>2</v>
      </c>
      <c r="I391" s="1" t="s">
        <v>20</v>
      </c>
      <c r="J391" s="1" t="s">
        <v>105</v>
      </c>
      <c r="K391" s="1" t="s">
        <v>34</v>
      </c>
      <c r="L391" s="1" t="s">
        <v>1244</v>
      </c>
      <c r="M391" s="1" t="s">
        <v>36</v>
      </c>
      <c r="N391" s="18">
        <v>2</v>
      </c>
      <c r="O391" s="1" t="s">
        <v>36</v>
      </c>
      <c r="P391" s="1" t="s">
        <v>1220</v>
      </c>
    </row>
    <row r="392" spans="1:16" x14ac:dyDescent="0.3">
      <c r="A392" s="1" t="s">
        <v>1221</v>
      </c>
      <c r="B392" s="1" t="s">
        <v>1222</v>
      </c>
      <c r="C392" s="1"/>
      <c r="D392" s="16">
        <v>399</v>
      </c>
      <c r="E392" s="16">
        <v>199</v>
      </c>
      <c r="F392" s="5">
        <v>0.5</v>
      </c>
      <c r="G392" s="1" t="s">
        <v>32</v>
      </c>
      <c r="H392" s="1">
        <v>1</v>
      </c>
      <c r="I392" s="1" t="s">
        <v>20</v>
      </c>
      <c r="J392" s="1" t="s">
        <v>21</v>
      </c>
      <c r="K392" s="1" t="s">
        <v>34</v>
      </c>
      <c r="L392" s="1" t="s">
        <v>23</v>
      </c>
      <c r="M392" s="1" t="s">
        <v>36</v>
      </c>
      <c r="N392" s="18">
        <v>2</v>
      </c>
      <c r="O392" s="1" t="s">
        <v>24</v>
      </c>
      <c r="P392" s="1" t="s">
        <v>106</v>
      </c>
    </row>
    <row r="393" spans="1:16" x14ac:dyDescent="0.3">
      <c r="A393" s="1" t="s">
        <v>1223</v>
      </c>
      <c r="B393" s="1" t="s">
        <v>1224</v>
      </c>
      <c r="C393" s="1"/>
      <c r="D393" s="16">
        <v>349</v>
      </c>
      <c r="E393" s="16">
        <v>199</v>
      </c>
      <c r="F393" s="5">
        <v>0.42</v>
      </c>
      <c r="G393" s="1" t="s">
        <v>32</v>
      </c>
      <c r="H393" s="1">
        <v>1</v>
      </c>
      <c r="I393" s="1" t="s">
        <v>20</v>
      </c>
      <c r="J393" s="1" t="s">
        <v>21</v>
      </c>
      <c r="K393" s="1" t="s">
        <v>34</v>
      </c>
      <c r="L393" s="1" t="s">
        <v>23</v>
      </c>
      <c r="M393" s="1" t="s">
        <v>24</v>
      </c>
      <c r="N393" s="18">
        <v>2</v>
      </c>
      <c r="O393" s="1" t="s">
        <v>24</v>
      </c>
      <c r="P393" s="1" t="s">
        <v>106</v>
      </c>
    </row>
    <row r="394" spans="1:16" x14ac:dyDescent="0.3">
      <c r="A394" s="1" t="s">
        <v>1225</v>
      </c>
      <c r="B394" s="1" t="s">
        <v>899</v>
      </c>
      <c r="C394" s="1"/>
      <c r="D394" s="16">
        <v>625</v>
      </c>
      <c r="E394" s="16">
        <v>298</v>
      </c>
      <c r="F394" s="5">
        <v>0.52</v>
      </c>
      <c r="G394" s="1" t="s">
        <v>32</v>
      </c>
      <c r="H394" s="1">
        <v>1</v>
      </c>
      <c r="I394" s="1" t="s">
        <v>20</v>
      </c>
      <c r="J394" s="1" t="s">
        <v>33</v>
      </c>
      <c r="K394" s="1" t="s">
        <v>22</v>
      </c>
      <c r="L394" s="1" t="s">
        <v>1244</v>
      </c>
      <c r="M394" s="1" t="s">
        <v>24</v>
      </c>
      <c r="N394" s="18">
        <v>1</v>
      </c>
      <c r="O394" s="1" t="s">
        <v>36</v>
      </c>
      <c r="P394" s="1" t="s">
        <v>900</v>
      </c>
    </row>
    <row r="395" spans="1:16" x14ac:dyDescent="0.3">
      <c r="A395" s="1" t="s">
        <v>1226</v>
      </c>
      <c r="B395" s="1" t="s">
        <v>1227</v>
      </c>
      <c r="C395" s="1"/>
      <c r="D395" s="16">
        <v>349</v>
      </c>
      <c r="E395" s="16">
        <v>199</v>
      </c>
      <c r="F395" s="5">
        <v>0.42</v>
      </c>
      <c r="G395" s="1" t="s">
        <v>32</v>
      </c>
      <c r="H395" s="1">
        <v>1</v>
      </c>
      <c r="I395" s="1" t="s">
        <v>20</v>
      </c>
      <c r="J395" s="1" t="s">
        <v>98</v>
      </c>
      <c r="K395" s="1" t="s">
        <v>34</v>
      </c>
      <c r="L395" s="1" t="s">
        <v>23</v>
      </c>
      <c r="M395" s="1" t="s">
        <v>24</v>
      </c>
      <c r="N395" s="18">
        <v>2</v>
      </c>
      <c r="O395" s="1" t="s">
        <v>24</v>
      </c>
      <c r="P395" s="1" t="s">
        <v>106</v>
      </c>
    </row>
    <row r="396" spans="1:16" x14ac:dyDescent="0.3">
      <c r="A396" s="1" t="s">
        <v>1228</v>
      </c>
      <c r="B396" s="1" t="s">
        <v>1229</v>
      </c>
      <c r="C396" s="1"/>
      <c r="D396" s="16">
        <v>599</v>
      </c>
      <c r="E396" s="16">
        <v>299</v>
      </c>
      <c r="F396" s="5">
        <v>0.5</v>
      </c>
      <c r="G396" s="1" t="s">
        <v>32</v>
      </c>
      <c r="H396" s="1">
        <v>1</v>
      </c>
      <c r="I396" s="1" t="s">
        <v>20</v>
      </c>
      <c r="J396" s="1" t="s">
        <v>243</v>
      </c>
      <c r="K396" s="1" t="s">
        <v>34</v>
      </c>
      <c r="L396" s="1" t="s">
        <v>23</v>
      </c>
      <c r="M396" s="1" t="s">
        <v>24</v>
      </c>
      <c r="N396" s="18">
        <v>2</v>
      </c>
      <c r="O396" s="1" t="s">
        <v>24</v>
      </c>
      <c r="P396" s="1" t="s">
        <v>1230</v>
      </c>
    </row>
    <row r="397" spans="1:16" x14ac:dyDescent="0.3">
      <c r="A397" s="1" t="s">
        <v>1231</v>
      </c>
      <c r="B397" s="1" t="s">
        <v>1232</v>
      </c>
      <c r="C397" s="1"/>
      <c r="D397" s="16">
        <v>699</v>
      </c>
      <c r="E397" s="16">
        <v>290</v>
      </c>
      <c r="F397" s="5">
        <v>0.57999999999999996</v>
      </c>
      <c r="G397" s="1" t="s">
        <v>32</v>
      </c>
      <c r="H397" s="1">
        <v>1</v>
      </c>
      <c r="I397" s="1" t="s">
        <v>20</v>
      </c>
      <c r="J397" s="1" t="s">
        <v>105</v>
      </c>
      <c r="K397" s="1" t="s">
        <v>34</v>
      </c>
      <c r="L397" s="1" t="s">
        <v>23</v>
      </c>
      <c r="M397" s="1" t="s">
        <v>36</v>
      </c>
      <c r="N397" s="18">
        <v>6</v>
      </c>
      <c r="O397" s="1" t="s">
        <v>24</v>
      </c>
      <c r="P397" s="1" t="s">
        <v>1053</v>
      </c>
    </row>
    <row r="398" spans="1:16" x14ac:dyDescent="0.3">
      <c r="A398" s="1" t="s">
        <v>1235</v>
      </c>
      <c r="B398" s="1" t="s">
        <v>1236</v>
      </c>
      <c r="C398" s="1"/>
      <c r="D398" s="16">
        <v>599</v>
      </c>
      <c r="E398" s="16">
        <v>229</v>
      </c>
      <c r="F398" s="5">
        <v>0.61</v>
      </c>
      <c r="G398" s="1" t="s">
        <v>32</v>
      </c>
      <c r="H398" s="1">
        <v>1</v>
      </c>
      <c r="I398" s="1" t="s">
        <v>20</v>
      </c>
      <c r="J398" s="1" t="s">
        <v>105</v>
      </c>
      <c r="K398" s="1" t="s">
        <v>34</v>
      </c>
      <c r="L398" s="1" t="s">
        <v>23</v>
      </c>
      <c r="M398" s="1" t="s">
        <v>36</v>
      </c>
      <c r="N398" s="18">
        <v>2</v>
      </c>
      <c r="O398" s="1" t="s">
        <v>24</v>
      </c>
      <c r="P398" s="1" t="s">
        <v>1237</v>
      </c>
    </row>
    <row r="399" spans="1:16" x14ac:dyDescent="0.3">
      <c r="A399" s="1" t="s">
        <v>1238</v>
      </c>
      <c r="B399" s="1" t="s">
        <v>893</v>
      </c>
      <c r="C399" s="1"/>
      <c r="D399" s="16">
        <v>349</v>
      </c>
      <c r="E399" s="16">
        <v>199</v>
      </c>
      <c r="F399" s="5">
        <v>0.42</v>
      </c>
      <c r="G399" s="1" t="s">
        <v>32</v>
      </c>
      <c r="H399" s="1">
        <v>1</v>
      </c>
      <c r="I399" s="1" t="s">
        <v>20</v>
      </c>
      <c r="J399" s="1" t="s">
        <v>98</v>
      </c>
      <c r="K399" s="1" t="s">
        <v>34</v>
      </c>
      <c r="L399" s="1" t="s">
        <v>23</v>
      </c>
      <c r="M399" s="1" t="s">
        <v>24</v>
      </c>
      <c r="N399" s="18">
        <v>2</v>
      </c>
      <c r="O399" s="1" t="s">
        <v>24</v>
      </c>
      <c r="P399" s="1" t="s">
        <v>106</v>
      </c>
    </row>
    <row r="400" spans="1:16" x14ac:dyDescent="0.3">
      <c r="A400" s="1" t="s">
        <v>1239</v>
      </c>
      <c r="B400" s="1" t="s">
        <v>1240</v>
      </c>
      <c r="C400" s="1"/>
      <c r="D400" s="16">
        <v>999</v>
      </c>
      <c r="E400" s="16">
        <v>399</v>
      </c>
      <c r="F400" s="5">
        <v>0.6</v>
      </c>
      <c r="G400" s="1" t="s">
        <v>19</v>
      </c>
      <c r="H400" s="1">
        <v>2</v>
      </c>
      <c r="I400" s="1" t="s">
        <v>20</v>
      </c>
      <c r="J400" s="1" t="s">
        <v>105</v>
      </c>
      <c r="K400" s="1" t="s">
        <v>34</v>
      </c>
      <c r="L400" s="1" t="s">
        <v>1244</v>
      </c>
      <c r="M400" s="1" t="s">
        <v>36</v>
      </c>
      <c r="N400" s="18">
        <v>2</v>
      </c>
      <c r="O400" s="1" t="s">
        <v>36</v>
      </c>
      <c r="P400" s="1" t="s">
        <v>1220</v>
      </c>
    </row>
    <row r="401" spans="1:16" x14ac:dyDescent="0.3">
      <c r="A401" s="1" t="s">
        <v>1241</v>
      </c>
      <c r="B401" s="1" t="s">
        <v>1242</v>
      </c>
      <c r="C401" s="1"/>
      <c r="D401" s="16">
        <v>699</v>
      </c>
      <c r="E401" s="16">
        <v>279</v>
      </c>
      <c r="F401" s="5">
        <v>0.6</v>
      </c>
      <c r="G401" s="1" t="s">
        <v>32</v>
      </c>
      <c r="H401" s="1">
        <v>1</v>
      </c>
      <c r="I401" s="1" t="s">
        <v>20</v>
      </c>
      <c r="J401" s="1" t="s">
        <v>105</v>
      </c>
      <c r="K401" s="1" t="s">
        <v>34</v>
      </c>
      <c r="L401" s="1" t="s">
        <v>23</v>
      </c>
      <c r="M401" s="1" t="s">
        <v>36</v>
      </c>
      <c r="N401" s="18">
        <v>2</v>
      </c>
      <c r="O401" s="1" t="s">
        <v>36</v>
      </c>
      <c r="P401" s="1" t="s">
        <v>1243</v>
      </c>
    </row>
  </sheetData>
  <autoFilter ref="A1:P401" xr:uid="{E6827737-76A8-4E26-A325-A3E1B7F1A4F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1"/>
  <sheetViews>
    <sheetView zoomScale="74" zoomScaleNormal="100" workbookViewId="0">
      <selection activeCell="L1" sqref="L1"/>
    </sheetView>
  </sheetViews>
  <sheetFormatPr defaultRowHeight="15.6" x14ac:dyDescent="0.3"/>
  <cols>
    <col min="1" max="1" width="17.09765625" bestFit="1" customWidth="1"/>
    <col min="2" max="2" width="104.5" bestFit="1" customWidth="1"/>
    <col min="3" max="3" width="11.796875" bestFit="1" customWidth="1"/>
    <col min="4" max="4" width="11.19921875" bestFit="1" customWidth="1"/>
    <col min="5" max="5" width="8.09765625" bestFit="1" customWidth="1"/>
    <col min="6" max="6" width="8.8984375" bestFit="1" customWidth="1"/>
    <col min="7" max="7" width="18.69921875" bestFit="1" customWidth="1"/>
    <col min="8" max="8" width="20" bestFit="1" customWidth="1"/>
    <col min="11" max="11" width="8.5" bestFit="1" customWidth="1"/>
    <col min="12" max="12" width="8.69921875" bestFit="1" customWidth="1"/>
    <col min="13" max="13" width="120.8984375" bestFit="1" customWidth="1"/>
    <col min="14" max="14" width="28.796875" bestFit="1"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s="1" t="s">
        <v>14</v>
      </c>
      <c r="B2" s="1" t="s">
        <v>15</v>
      </c>
      <c r="C2" s="1" t="s">
        <v>16</v>
      </c>
      <c r="D2" s="1" t="s">
        <v>17</v>
      </c>
      <c r="E2" s="1" t="s">
        <v>18</v>
      </c>
      <c r="F2" s="1" t="s">
        <v>19</v>
      </c>
      <c r="G2" s="1" t="s">
        <v>20</v>
      </c>
      <c r="H2" s="1" t="s">
        <v>21</v>
      </c>
      <c r="I2" s="1" t="s">
        <v>22</v>
      </c>
      <c r="J2" s="1" t="s">
        <v>23</v>
      </c>
      <c r="K2" s="1" t="s">
        <v>24</v>
      </c>
      <c r="L2" s="1" t="s">
        <v>25</v>
      </c>
      <c r="M2" s="1" t="s">
        <v>24</v>
      </c>
      <c r="N2" s="1" t="s">
        <v>26</v>
      </c>
    </row>
    <row r="3" spans="1:14" x14ac:dyDescent="0.3">
      <c r="A3" s="1" t="s">
        <v>27</v>
      </c>
      <c r="B3" s="1" t="s">
        <v>28</v>
      </c>
      <c r="C3" s="1" t="s">
        <v>29</v>
      </c>
      <c r="D3" s="1" t="s">
        <v>30</v>
      </c>
      <c r="E3" s="1" t="s">
        <v>31</v>
      </c>
      <c r="F3" s="1" t="s">
        <v>32</v>
      </c>
      <c r="G3" s="1" t="s">
        <v>20</v>
      </c>
      <c r="H3" s="1" t="s">
        <v>33</v>
      </c>
      <c r="I3" s="1" t="s">
        <v>34</v>
      </c>
      <c r="J3" s="1" t="s">
        <v>35</v>
      </c>
      <c r="K3" s="1" t="s">
        <v>36</v>
      </c>
      <c r="L3" s="1" t="s">
        <v>25</v>
      </c>
      <c r="M3" s="1" t="s">
        <v>37</v>
      </c>
      <c r="N3" s="1" t="s">
        <v>38</v>
      </c>
    </row>
    <row r="4" spans="1:14" x14ac:dyDescent="0.3">
      <c r="A4" s="1" t="s">
        <v>39</v>
      </c>
      <c r="B4" s="1" t="s">
        <v>40</v>
      </c>
      <c r="C4" s="1" t="s">
        <v>16</v>
      </c>
      <c r="D4" s="1" t="s">
        <v>41</v>
      </c>
      <c r="E4" s="1" t="s">
        <v>42</v>
      </c>
      <c r="F4" s="1" t="s">
        <v>19</v>
      </c>
      <c r="G4" s="1" t="s">
        <v>20</v>
      </c>
      <c r="H4" s="1" t="s">
        <v>43</v>
      </c>
      <c r="I4" s="1" t="s">
        <v>22</v>
      </c>
      <c r="J4" s="1" t="s">
        <v>35</v>
      </c>
      <c r="K4" s="1" t="s">
        <v>24</v>
      </c>
      <c r="L4" s="1" t="s">
        <v>25</v>
      </c>
      <c r="M4" s="1" t="s">
        <v>36</v>
      </c>
      <c r="N4" s="1" t="s">
        <v>44</v>
      </c>
    </row>
    <row r="5" spans="1:14" x14ac:dyDescent="0.3">
      <c r="A5" s="1" t="s">
        <v>45</v>
      </c>
      <c r="B5" s="1" t="s">
        <v>46</v>
      </c>
      <c r="C5" s="1" t="s">
        <v>47</v>
      </c>
      <c r="D5" s="1" t="s">
        <v>48</v>
      </c>
      <c r="E5" s="1" t="s">
        <v>49</v>
      </c>
      <c r="F5" s="1" t="s">
        <v>32</v>
      </c>
      <c r="G5" s="1" t="s">
        <v>20</v>
      </c>
      <c r="H5" s="1" t="s">
        <v>33</v>
      </c>
      <c r="I5" s="1" t="s">
        <v>34</v>
      </c>
      <c r="J5" s="1" t="s">
        <v>50</v>
      </c>
      <c r="K5" s="1" t="s">
        <v>24</v>
      </c>
      <c r="L5" s="1" t="s">
        <v>25</v>
      </c>
      <c r="M5" s="1" t="s">
        <v>36</v>
      </c>
      <c r="N5" s="1" t="s">
        <v>51</v>
      </c>
    </row>
    <row r="6" spans="1:14" x14ac:dyDescent="0.3">
      <c r="A6" s="1" t="s">
        <v>52</v>
      </c>
      <c r="B6" s="1" t="s">
        <v>53</v>
      </c>
      <c r="C6" s="1" t="s">
        <v>54</v>
      </c>
      <c r="D6" s="1" t="s">
        <v>55</v>
      </c>
      <c r="E6" s="1" t="s">
        <v>56</v>
      </c>
      <c r="F6" s="1" t="s">
        <v>32</v>
      </c>
      <c r="G6" s="1" t="s">
        <v>20</v>
      </c>
      <c r="H6" s="1" t="s">
        <v>33</v>
      </c>
      <c r="I6" s="1" t="s">
        <v>22</v>
      </c>
      <c r="J6" s="1" t="s">
        <v>35</v>
      </c>
      <c r="K6" s="1" t="s">
        <v>24</v>
      </c>
      <c r="L6" s="1" t="s">
        <v>25</v>
      </c>
      <c r="M6" s="1" t="s">
        <v>36</v>
      </c>
      <c r="N6" s="1" t="s">
        <v>57</v>
      </c>
    </row>
    <row r="7" spans="1:14" x14ac:dyDescent="0.3">
      <c r="A7" s="1" t="s">
        <v>58</v>
      </c>
      <c r="B7" s="1" t="s">
        <v>59</v>
      </c>
      <c r="C7" s="1" t="s">
        <v>29</v>
      </c>
      <c r="D7" s="1" t="s">
        <v>48</v>
      </c>
      <c r="E7" s="1" t="s">
        <v>60</v>
      </c>
      <c r="F7" s="1" t="s">
        <v>32</v>
      </c>
      <c r="G7" s="1" t="s">
        <v>20</v>
      </c>
      <c r="H7" s="1" t="s">
        <v>33</v>
      </c>
      <c r="I7" s="1" t="s">
        <v>34</v>
      </c>
      <c r="J7" s="1" t="s">
        <v>35</v>
      </c>
      <c r="K7" s="1" t="s">
        <v>36</v>
      </c>
      <c r="L7" s="1" t="s">
        <v>25</v>
      </c>
      <c r="M7" s="1" t="s">
        <v>36</v>
      </c>
      <c r="N7" s="1" t="s">
        <v>38</v>
      </c>
    </row>
    <row r="8" spans="1:14" x14ac:dyDescent="0.3">
      <c r="A8" s="1" t="s">
        <v>61</v>
      </c>
      <c r="B8" s="1" t="s">
        <v>62</v>
      </c>
      <c r="C8" s="1" t="s">
        <v>63</v>
      </c>
      <c r="D8" s="1" t="s">
        <v>64</v>
      </c>
      <c r="E8" s="1" t="s">
        <v>65</v>
      </c>
      <c r="F8" s="1" t="s">
        <v>32</v>
      </c>
      <c r="G8" s="1" t="s">
        <v>20</v>
      </c>
      <c r="H8" s="1" t="s">
        <v>66</v>
      </c>
      <c r="I8" s="1" t="s">
        <v>34</v>
      </c>
      <c r="J8" s="1" t="s">
        <v>35</v>
      </c>
      <c r="K8" s="1" t="s">
        <v>36</v>
      </c>
      <c r="L8" s="1" t="s">
        <v>25</v>
      </c>
      <c r="M8" s="1" t="s">
        <v>36</v>
      </c>
      <c r="N8" s="1" t="s">
        <v>67</v>
      </c>
    </row>
    <row r="9" spans="1:14" x14ac:dyDescent="0.3">
      <c r="A9" s="1" t="s">
        <v>68</v>
      </c>
      <c r="B9" s="1" t="s">
        <v>69</v>
      </c>
      <c r="C9" s="1" t="s">
        <v>16</v>
      </c>
      <c r="D9" s="1" t="s">
        <v>70</v>
      </c>
      <c r="E9" s="1" t="s">
        <v>71</v>
      </c>
      <c r="F9" s="1" t="s">
        <v>32</v>
      </c>
      <c r="G9" s="1" t="s">
        <v>20</v>
      </c>
      <c r="H9" s="1" t="s">
        <v>43</v>
      </c>
      <c r="I9" s="1" t="s">
        <v>22</v>
      </c>
      <c r="J9" s="1" t="s">
        <v>35</v>
      </c>
      <c r="K9" s="1" t="s">
        <v>24</v>
      </c>
      <c r="L9" s="1" t="s">
        <v>72</v>
      </c>
      <c r="M9" s="1" t="s">
        <v>36</v>
      </c>
      <c r="N9" s="1" t="s">
        <v>73</v>
      </c>
    </row>
    <row r="10" spans="1:14" x14ac:dyDescent="0.3">
      <c r="A10" s="1" t="s">
        <v>74</v>
      </c>
      <c r="B10" s="1" t="s">
        <v>75</v>
      </c>
      <c r="C10" s="1" t="s">
        <v>16</v>
      </c>
      <c r="D10" s="1" t="s">
        <v>76</v>
      </c>
      <c r="E10" s="1" t="s">
        <v>77</v>
      </c>
      <c r="F10" s="1" t="s">
        <v>19</v>
      </c>
      <c r="G10" s="1" t="s">
        <v>20</v>
      </c>
      <c r="H10" s="1" t="s">
        <v>33</v>
      </c>
      <c r="I10" s="1" t="s">
        <v>22</v>
      </c>
      <c r="J10" s="1" t="s">
        <v>50</v>
      </c>
      <c r="K10" s="1" t="s">
        <v>24</v>
      </c>
      <c r="L10" s="1" t="s">
        <v>78</v>
      </c>
      <c r="M10" s="1" t="s">
        <v>36</v>
      </c>
      <c r="N10" s="1" t="s">
        <v>79</v>
      </c>
    </row>
    <row r="11" spans="1:14" x14ac:dyDescent="0.3">
      <c r="A11" s="1" t="s">
        <v>80</v>
      </c>
      <c r="B11" s="1" t="s">
        <v>81</v>
      </c>
      <c r="C11" s="1" t="s">
        <v>16</v>
      </c>
      <c r="D11" s="1" t="s">
        <v>64</v>
      </c>
      <c r="E11" s="1" t="s">
        <v>65</v>
      </c>
      <c r="F11" s="1" t="s">
        <v>32</v>
      </c>
      <c r="G11" s="1" t="s">
        <v>20</v>
      </c>
      <c r="H11" s="1" t="s">
        <v>33</v>
      </c>
      <c r="I11" s="1" t="s">
        <v>34</v>
      </c>
      <c r="J11" s="1" t="s">
        <v>50</v>
      </c>
      <c r="K11" s="1" t="s">
        <v>24</v>
      </c>
      <c r="L11" s="1" t="s">
        <v>72</v>
      </c>
      <c r="M11" s="1" t="s">
        <v>36</v>
      </c>
      <c r="N11" s="1" t="s">
        <v>73</v>
      </c>
    </row>
    <row r="12" spans="1:14" x14ac:dyDescent="0.3">
      <c r="A12" s="1" t="s">
        <v>82</v>
      </c>
      <c r="B12" s="1" t="s">
        <v>83</v>
      </c>
      <c r="C12" s="1" t="s">
        <v>84</v>
      </c>
      <c r="D12" s="1" t="s">
        <v>30</v>
      </c>
      <c r="E12" s="1" t="s">
        <v>85</v>
      </c>
      <c r="F12" s="1" t="s">
        <v>32</v>
      </c>
      <c r="G12" s="1" t="s">
        <v>20</v>
      </c>
      <c r="H12" s="1" t="s">
        <v>33</v>
      </c>
      <c r="I12" s="1" t="s">
        <v>22</v>
      </c>
      <c r="J12" s="1" t="s">
        <v>35</v>
      </c>
      <c r="K12" s="1" t="s">
        <v>24</v>
      </c>
      <c r="L12" s="1" t="s">
        <v>72</v>
      </c>
      <c r="M12" s="1" t="s">
        <v>86</v>
      </c>
      <c r="N12" s="1" t="s">
        <v>87</v>
      </c>
    </row>
    <row r="13" spans="1:14" x14ac:dyDescent="0.3">
      <c r="A13" s="1" t="s">
        <v>88</v>
      </c>
      <c r="B13" s="1" t="s">
        <v>89</v>
      </c>
      <c r="C13" s="1" t="s">
        <v>16</v>
      </c>
      <c r="D13" s="1" t="s">
        <v>90</v>
      </c>
      <c r="E13" s="1" t="s">
        <v>65</v>
      </c>
      <c r="F13" s="1" t="s">
        <v>32</v>
      </c>
      <c r="G13" s="1" t="s">
        <v>20</v>
      </c>
      <c r="H13" s="1" t="s">
        <v>91</v>
      </c>
      <c r="I13" s="1" t="s">
        <v>34</v>
      </c>
      <c r="J13" s="1" t="s">
        <v>23</v>
      </c>
      <c r="K13" s="1" t="s">
        <v>24</v>
      </c>
      <c r="L13" s="1" t="s">
        <v>92</v>
      </c>
      <c r="M13" s="1" t="s">
        <v>24</v>
      </c>
      <c r="N13" s="1" t="s">
        <v>93</v>
      </c>
    </row>
    <row r="14" spans="1:14" x14ac:dyDescent="0.3">
      <c r="A14" s="1" t="s">
        <v>94</v>
      </c>
      <c r="B14" s="1" t="s">
        <v>95</v>
      </c>
      <c r="C14" s="1" t="s">
        <v>96</v>
      </c>
      <c r="D14" s="1" t="s">
        <v>30</v>
      </c>
      <c r="E14" s="1" t="s">
        <v>97</v>
      </c>
      <c r="F14" s="1" t="s">
        <v>32</v>
      </c>
      <c r="G14" s="1" t="s">
        <v>20</v>
      </c>
      <c r="H14" s="1" t="s">
        <v>98</v>
      </c>
      <c r="I14" s="1" t="s">
        <v>34</v>
      </c>
      <c r="J14" s="1" t="s">
        <v>35</v>
      </c>
      <c r="K14" s="1" t="s">
        <v>36</v>
      </c>
      <c r="L14" s="1" t="s">
        <v>99</v>
      </c>
      <c r="M14" s="1" t="s">
        <v>36</v>
      </c>
      <c r="N14" s="1" t="s">
        <v>100</v>
      </c>
    </row>
    <row r="15" spans="1:14" x14ac:dyDescent="0.3">
      <c r="A15" s="1" t="s">
        <v>101</v>
      </c>
      <c r="B15" s="1" t="s">
        <v>102</v>
      </c>
      <c r="C15" s="1" t="s">
        <v>16</v>
      </c>
      <c r="D15" s="1" t="s">
        <v>103</v>
      </c>
      <c r="E15" s="1" t="s">
        <v>104</v>
      </c>
      <c r="F15" s="1" t="s">
        <v>32</v>
      </c>
      <c r="G15" s="1" t="s">
        <v>20</v>
      </c>
      <c r="H15" s="1" t="s">
        <v>105</v>
      </c>
      <c r="I15" s="1" t="s">
        <v>34</v>
      </c>
      <c r="J15" s="1" t="s">
        <v>23</v>
      </c>
      <c r="K15" s="1" t="s">
        <v>24</v>
      </c>
      <c r="L15" s="1" t="s">
        <v>25</v>
      </c>
      <c r="M15" s="1" t="s">
        <v>24</v>
      </c>
      <c r="N15" s="1" t="s">
        <v>106</v>
      </c>
    </row>
    <row r="16" spans="1:14" x14ac:dyDescent="0.3">
      <c r="A16" s="1" t="s">
        <v>107</v>
      </c>
      <c r="B16" s="1" t="s">
        <v>108</v>
      </c>
      <c r="C16" s="1" t="s">
        <v>16</v>
      </c>
      <c r="D16" s="1" t="s">
        <v>109</v>
      </c>
      <c r="E16" s="1" t="s">
        <v>110</v>
      </c>
      <c r="F16" s="1" t="s">
        <v>32</v>
      </c>
      <c r="G16" s="1" t="s">
        <v>20</v>
      </c>
      <c r="H16" s="1" t="s">
        <v>98</v>
      </c>
      <c r="I16" s="1" t="s">
        <v>34</v>
      </c>
      <c r="J16" s="1" t="s">
        <v>50</v>
      </c>
      <c r="K16" s="1" t="s">
        <v>36</v>
      </c>
      <c r="L16" s="1" t="s">
        <v>111</v>
      </c>
      <c r="M16" s="1" t="s">
        <v>36</v>
      </c>
      <c r="N16" s="1" t="s">
        <v>112</v>
      </c>
    </row>
    <row r="17" spans="1:14" x14ac:dyDescent="0.3">
      <c r="A17" s="1" t="s">
        <v>113</v>
      </c>
      <c r="B17" s="1" t="s">
        <v>114</v>
      </c>
      <c r="C17" s="1" t="s">
        <v>115</v>
      </c>
      <c r="D17" s="1" t="s">
        <v>116</v>
      </c>
      <c r="E17" s="1" t="s">
        <v>117</v>
      </c>
      <c r="F17" s="1" t="s">
        <v>19</v>
      </c>
      <c r="G17" s="1" t="s">
        <v>20</v>
      </c>
      <c r="H17" s="1" t="s">
        <v>33</v>
      </c>
      <c r="I17" s="1" t="s">
        <v>22</v>
      </c>
      <c r="J17" s="1" t="s">
        <v>118</v>
      </c>
      <c r="K17" s="1" t="s">
        <v>24</v>
      </c>
      <c r="L17" s="1" t="s">
        <v>25</v>
      </c>
      <c r="M17" s="1" t="s">
        <v>36</v>
      </c>
      <c r="N17" s="1" t="s">
        <v>119</v>
      </c>
    </row>
    <row r="18" spans="1:14" x14ac:dyDescent="0.3">
      <c r="A18" s="1" t="s">
        <v>120</v>
      </c>
      <c r="B18" s="1" t="s">
        <v>121</v>
      </c>
      <c r="C18" s="1" t="s">
        <v>122</v>
      </c>
      <c r="D18" s="1" t="s">
        <v>48</v>
      </c>
      <c r="E18" s="1" t="s">
        <v>110</v>
      </c>
      <c r="F18" s="1" t="s">
        <v>32</v>
      </c>
      <c r="G18" s="1" t="s">
        <v>20</v>
      </c>
      <c r="H18" s="1" t="s">
        <v>43</v>
      </c>
      <c r="I18" s="1" t="s">
        <v>22</v>
      </c>
      <c r="J18" s="1" t="s">
        <v>35</v>
      </c>
      <c r="K18" s="1" t="s">
        <v>24</v>
      </c>
      <c r="L18" s="1" t="s">
        <v>72</v>
      </c>
      <c r="M18" s="1" t="s">
        <v>36</v>
      </c>
      <c r="N18" s="1" t="s">
        <v>123</v>
      </c>
    </row>
    <row r="19" spans="1:14" x14ac:dyDescent="0.3">
      <c r="A19" s="1" t="s">
        <v>124</v>
      </c>
      <c r="B19" s="1" t="s">
        <v>125</v>
      </c>
      <c r="C19" s="1" t="s">
        <v>126</v>
      </c>
      <c r="D19" s="1" t="s">
        <v>127</v>
      </c>
      <c r="E19" s="1" t="s">
        <v>18</v>
      </c>
      <c r="F19" s="1" t="s">
        <v>32</v>
      </c>
      <c r="G19" s="1" t="s">
        <v>20</v>
      </c>
      <c r="H19" s="1" t="s">
        <v>91</v>
      </c>
      <c r="I19" s="1" t="s">
        <v>22</v>
      </c>
      <c r="J19" s="1" t="s">
        <v>35</v>
      </c>
      <c r="K19" s="1" t="s">
        <v>24</v>
      </c>
      <c r="L19" s="1" t="s">
        <v>128</v>
      </c>
      <c r="M19" s="1" t="s">
        <v>129</v>
      </c>
      <c r="N19" s="1" t="s">
        <v>130</v>
      </c>
    </row>
    <row r="20" spans="1:14" x14ac:dyDescent="0.3">
      <c r="A20" s="1" t="s">
        <v>131</v>
      </c>
      <c r="B20" s="1" t="s">
        <v>132</v>
      </c>
      <c r="C20" s="1" t="s">
        <v>47</v>
      </c>
      <c r="D20" s="1" t="s">
        <v>133</v>
      </c>
      <c r="E20" s="1" t="s">
        <v>134</v>
      </c>
      <c r="F20" s="1" t="s">
        <v>19</v>
      </c>
      <c r="G20" s="1" t="s">
        <v>20</v>
      </c>
      <c r="H20" s="1" t="s">
        <v>135</v>
      </c>
      <c r="I20" s="1" t="s">
        <v>22</v>
      </c>
      <c r="J20" s="1" t="s">
        <v>23</v>
      </c>
      <c r="K20" s="1" t="s">
        <v>36</v>
      </c>
      <c r="L20" s="1" t="s">
        <v>72</v>
      </c>
      <c r="M20" s="1" t="s">
        <v>36</v>
      </c>
      <c r="N20" s="1" t="s">
        <v>136</v>
      </c>
    </row>
    <row r="21" spans="1:14" x14ac:dyDescent="0.3">
      <c r="A21" s="1" t="s">
        <v>137</v>
      </c>
      <c r="B21" s="1" t="s">
        <v>138</v>
      </c>
      <c r="C21" s="1" t="s">
        <v>47</v>
      </c>
      <c r="D21" s="1" t="s">
        <v>139</v>
      </c>
      <c r="E21" s="1" t="s">
        <v>134</v>
      </c>
      <c r="F21" s="1" t="s">
        <v>32</v>
      </c>
      <c r="G21" s="1" t="s">
        <v>20</v>
      </c>
      <c r="H21" s="1" t="s">
        <v>33</v>
      </c>
      <c r="I21" s="1" t="s">
        <v>22</v>
      </c>
      <c r="J21" s="1" t="s">
        <v>35</v>
      </c>
      <c r="K21" s="1" t="s">
        <v>24</v>
      </c>
      <c r="L21" s="1" t="s">
        <v>72</v>
      </c>
      <c r="M21" s="1" t="s">
        <v>36</v>
      </c>
      <c r="N21" s="1" t="s">
        <v>87</v>
      </c>
    </row>
    <row r="22" spans="1:14" x14ac:dyDescent="0.3">
      <c r="A22" s="1" t="s">
        <v>140</v>
      </c>
      <c r="B22" s="1" t="s">
        <v>141</v>
      </c>
      <c r="C22" s="1" t="s">
        <v>47</v>
      </c>
      <c r="D22" s="1" t="s">
        <v>142</v>
      </c>
      <c r="E22" s="1" t="s">
        <v>143</v>
      </c>
      <c r="F22" s="1" t="s">
        <v>32</v>
      </c>
      <c r="G22" s="1" t="s">
        <v>20</v>
      </c>
      <c r="H22" s="1" t="s">
        <v>33</v>
      </c>
      <c r="I22" s="1" t="s">
        <v>34</v>
      </c>
      <c r="J22" s="1" t="s">
        <v>35</v>
      </c>
      <c r="K22" s="1" t="s">
        <v>24</v>
      </c>
      <c r="L22" s="1" t="s">
        <v>72</v>
      </c>
      <c r="M22" s="1" t="s">
        <v>36</v>
      </c>
      <c r="N22" s="1" t="s">
        <v>87</v>
      </c>
    </row>
    <row r="23" spans="1:14" x14ac:dyDescent="0.3">
      <c r="A23" s="1" t="s">
        <v>144</v>
      </c>
      <c r="B23" s="1" t="s">
        <v>145</v>
      </c>
      <c r="C23" s="1" t="s">
        <v>47</v>
      </c>
      <c r="D23" s="1" t="s">
        <v>146</v>
      </c>
      <c r="E23" s="1" t="s">
        <v>147</v>
      </c>
      <c r="F23" s="1" t="s">
        <v>32</v>
      </c>
      <c r="G23" s="1" t="s">
        <v>20</v>
      </c>
      <c r="H23" s="1" t="s">
        <v>43</v>
      </c>
      <c r="I23" s="1" t="s">
        <v>34</v>
      </c>
      <c r="J23" s="1" t="s">
        <v>50</v>
      </c>
      <c r="K23" s="1" t="s">
        <v>36</v>
      </c>
      <c r="L23" s="1" t="s">
        <v>78</v>
      </c>
      <c r="M23" s="1" t="s">
        <v>36</v>
      </c>
      <c r="N23" s="1" t="s">
        <v>148</v>
      </c>
    </row>
    <row r="24" spans="1:14" x14ac:dyDescent="0.3">
      <c r="A24" s="1" t="s">
        <v>149</v>
      </c>
      <c r="B24" s="1" t="s">
        <v>150</v>
      </c>
      <c r="C24" s="1" t="s">
        <v>151</v>
      </c>
      <c r="D24" s="1" t="s">
        <v>152</v>
      </c>
      <c r="E24" s="1" t="s">
        <v>153</v>
      </c>
      <c r="F24" s="1" t="s">
        <v>32</v>
      </c>
      <c r="G24" s="1" t="s">
        <v>20</v>
      </c>
      <c r="H24" s="1" t="s">
        <v>33</v>
      </c>
      <c r="I24" s="1" t="s">
        <v>22</v>
      </c>
      <c r="J24" s="1" t="s">
        <v>35</v>
      </c>
      <c r="K24" s="1" t="s">
        <v>24</v>
      </c>
      <c r="L24" s="1" t="s">
        <v>154</v>
      </c>
      <c r="M24" s="1" t="s">
        <v>36</v>
      </c>
      <c r="N24" s="1" t="s">
        <v>87</v>
      </c>
    </row>
    <row r="25" spans="1:14" x14ac:dyDescent="0.3">
      <c r="A25" s="1" t="s">
        <v>155</v>
      </c>
      <c r="B25" s="1" t="s">
        <v>156</v>
      </c>
      <c r="C25" s="1" t="s">
        <v>84</v>
      </c>
      <c r="D25" s="1" t="s">
        <v>157</v>
      </c>
      <c r="E25" s="1" t="s">
        <v>18</v>
      </c>
      <c r="F25" s="1" t="s">
        <v>32</v>
      </c>
      <c r="G25" s="1" t="s">
        <v>20</v>
      </c>
      <c r="H25" s="1" t="s">
        <v>66</v>
      </c>
      <c r="I25" s="1" t="s">
        <v>34</v>
      </c>
      <c r="J25" s="1" t="s">
        <v>50</v>
      </c>
      <c r="K25" s="1" t="s">
        <v>24</v>
      </c>
      <c r="L25" s="1" t="s">
        <v>25</v>
      </c>
      <c r="M25" s="1" t="s">
        <v>36</v>
      </c>
      <c r="N25" s="1" t="s">
        <v>158</v>
      </c>
    </row>
    <row r="26" spans="1:14" x14ac:dyDescent="0.3">
      <c r="A26" s="1" t="s">
        <v>159</v>
      </c>
      <c r="B26" s="1" t="s">
        <v>160</v>
      </c>
      <c r="C26" s="1" t="s">
        <v>29</v>
      </c>
      <c r="D26" s="1" t="s">
        <v>161</v>
      </c>
      <c r="E26" s="1" t="s">
        <v>77</v>
      </c>
      <c r="F26" s="1" t="s">
        <v>32</v>
      </c>
      <c r="G26" s="1" t="s">
        <v>20</v>
      </c>
      <c r="H26" s="1" t="s">
        <v>43</v>
      </c>
      <c r="I26" s="1" t="s">
        <v>34</v>
      </c>
      <c r="J26" s="1" t="s">
        <v>35</v>
      </c>
      <c r="K26" s="1" t="s">
        <v>36</v>
      </c>
      <c r="L26" s="1" t="s">
        <v>25</v>
      </c>
      <c r="M26" s="1" t="s">
        <v>36</v>
      </c>
      <c r="N26" s="1" t="s">
        <v>38</v>
      </c>
    </row>
    <row r="27" spans="1:14" x14ac:dyDescent="0.3">
      <c r="A27" s="1" t="s">
        <v>162</v>
      </c>
      <c r="B27" s="1" t="s">
        <v>163</v>
      </c>
      <c r="C27" s="1" t="s">
        <v>164</v>
      </c>
      <c r="D27" s="1" t="s">
        <v>157</v>
      </c>
      <c r="E27" s="1" t="s">
        <v>165</v>
      </c>
      <c r="F27" s="1" t="s">
        <v>32</v>
      </c>
      <c r="G27" s="1" t="s">
        <v>20</v>
      </c>
      <c r="H27" s="1" t="s">
        <v>33</v>
      </c>
      <c r="I27" s="1" t="s">
        <v>22</v>
      </c>
      <c r="J27" s="1" t="s">
        <v>35</v>
      </c>
      <c r="K27" s="1" t="s">
        <v>24</v>
      </c>
      <c r="L27" s="1" t="s">
        <v>166</v>
      </c>
      <c r="M27" s="1" t="s">
        <v>36</v>
      </c>
      <c r="N27" s="1" t="s">
        <v>167</v>
      </c>
    </row>
    <row r="28" spans="1:14" x14ac:dyDescent="0.3">
      <c r="A28" s="1" t="s">
        <v>168</v>
      </c>
      <c r="B28" s="1" t="s">
        <v>169</v>
      </c>
      <c r="C28" s="1" t="s">
        <v>47</v>
      </c>
      <c r="D28" s="1" t="s">
        <v>170</v>
      </c>
      <c r="E28" s="1" t="s">
        <v>49</v>
      </c>
      <c r="F28" s="1" t="s">
        <v>32</v>
      </c>
      <c r="G28" s="1" t="s">
        <v>20</v>
      </c>
      <c r="H28" s="1" t="s">
        <v>33</v>
      </c>
      <c r="I28" s="1" t="s">
        <v>22</v>
      </c>
      <c r="J28" s="1" t="s">
        <v>50</v>
      </c>
      <c r="K28" s="1" t="s">
        <v>36</v>
      </c>
      <c r="L28" s="1" t="s">
        <v>72</v>
      </c>
      <c r="M28" s="1" t="s">
        <v>36</v>
      </c>
      <c r="N28" s="1" t="s">
        <v>171</v>
      </c>
    </row>
    <row r="29" spans="1:14" x14ac:dyDescent="0.3">
      <c r="A29" s="1" t="s">
        <v>172</v>
      </c>
      <c r="B29" s="1" t="s">
        <v>173</v>
      </c>
      <c r="C29" s="1" t="s">
        <v>174</v>
      </c>
      <c r="D29" s="1" t="s">
        <v>116</v>
      </c>
      <c r="E29" s="1" t="s">
        <v>175</v>
      </c>
      <c r="F29" s="1" t="s">
        <v>32</v>
      </c>
      <c r="G29" s="1" t="s">
        <v>20</v>
      </c>
      <c r="H29" s="1" t="s">
        <v>66</v>
      </c>
      <c r="I29" s="1" t="s">
        <v>22</v>
      </c>
      <c r="J29" s="1" t="s">
        <v>50</v>
      </c>
      <c r="K29" s="1" t="s">
        <v>36</v>
      </c>
      <c r="L29" s="1" t="s">
        <v>78</v>
      </c>
      <c r="M29" s="1" t="s">
        <v>36</v>
      </c>
      <c r="N29" s="1" t="s">
        <v>148</v>
      </c>
    </row>
    <row r="30" spans="1:14" x14ac:dyDescent="0.3">
      <c r="A30" s="1" t="s">
        <v>176</v>
      </c>
      <c r="B30" s="1" t="s">
        <v>177</v>
      </c>
      <c r="C30" s="1" t="s">
        <v>178</v>
      </c>
      <c r="D30" s="1" t="s">
        <v>16</v>
      </c>
      <c r="E30" s="1" t="s">
        <v>42</v>
      </c>
      <c r="F30" s="1" t="s">
        <v>32</v>
      </c>
      <c r="G30" s="1" t="s">
        <v>20</v>
      </c>
      <c r="H30" s="1" t="s">
        <v>105</v>
      </c>
      <c r="I30" s="1" t="s">
        <v>22</v>
      </c>
      <c r="J30" s="1" t="s">
        <v>23</v>
      </c>
      <c r="K30" s="1" t="s">
        <v>36</v>
      </c>
      <c r="L30" s="1" t="s">
        <v>179</v>
      </c>
      <c r="M30" s="1" t="s">
        <v>36</v>
      </c>
      <c r="N30" s="1" t="s">
        <v>180</v>
      </c>
    </row>
    <row r="31" spans="1:14" x14ac:dyDescent="0.3">
      <c r="A31" s="1" t="s">
        <v>181</v>
      </c>
      <c r="B31" s="1" t="s">
        <v>182</v>
      </c>
      <c r="C31" s="1" t="s">
        <v>16</v>
      </c>
      <c r="D31" s="1" t="s">
        <v>76</v>
      </c>
      <c r="E31" s="1" t="s">
        <v>77</v>
      </c>
      <c r="F31" s="1" t="s">
        <v>19</v>
      </c>
      <c r="G31" s="1" t="s">
        <v>20</v>
      </c>
      <c r="H31" s="1" t="s">
        <v>66</v>
      </c>
      <c r="I31" s="1" t="s">
        <v>22</v>
      </c>
      <c r="J31" s="1" t="s">
        <v>50</v>
      </c>
      <c r="K31" s="1" t="s">
        <v>24</v>
      </c>
      <c r="L31" s="1" t="s">
        <v>72</v>
      </c>
      <c r="M31" s="1" t="s">
        <v>183</v>
      </c>
      <c r="N31" s="1" t="s">
        <v>73</v>
      </c>
    </row>
    <row r="32" spans="1:14" x14ac:dyDescent="0.3">
      <c r="A32" s="1" t="s">
        <v>184</v>
      </c>
      <c r="B32" s="1" t="s">
        <v>185</v>
      </c>
      <c r="C32" s="1" t="s">
        <v>84</v>
      </c>
      <c r="D32" s="1" t="s">
        <v>186</v>
      </c>
      <c r="E32" s="1" t="s">
        <v>187</v>
      </c>
      <c r="F32" s="1" t="s">
        <v>19</v>
      </c>
      <c r="G32" s="1" t="s">
        <v>20</v>
      </c>
      <c r="H32" s="1" t="s">
        <v>33</v>
      </c>
      <c r="I32" s="1" t="s">
        <v>22</v>
      </c>
      <c r="J32" s="1" t="s">
        <v>35</v>
      </c>
      <c r="K32" s="1" t="s">
        <v>24</v>
      </c>
      <c r="L32" s="1" t="s">
        <v>25</v>
      </c>
      <c r="M32" s="1" t="s">
        <v>36</v>
      </c>
      <c r="N32" s="1" t="s">
        <v>188</v>
      </c>
    </row>
    <row r="33" spans="1:14" x14ac:dyDescent="0.3">
      <c r="A33" s="1" t="s">
        <v>189</v>
      </c>
      <c r="B33" s="1" t="s">
        <v>190</v>
      </c>
      <c r="C33" s="1" t="s">
        <v>16</v>
      </c>
      <c r="D33" s="1" t="s">
        <v>109</v>
      </c>
      <c r="E33" s="1" t="s">
        <v>110</v>
      </c>
      <c r="F33" s="1" t="s">
        <v>32</v>
      </c>
      <c r="G33" s="1" t="s">
        <v>20</v>
      </c>
      <c r="H33" s="1" t="s">
        <v>43</v>
      </c>
      <c r="I33" s="1" t="s">
        <v>22</v>
      </c>
      <c r="J33" s="1" t="s">
        <v>35</v>
      </c>
      <c r="K33" s="1" t="s">
        <v>24</v>
      </c>
      <c r="L33" s="1" t="s">
        <v>25</v>
      </c>
      <c r="M33" s="1" t="s">
        <v>36</v>
      </c>
      <c r="N33" s="1" t="s">
        <v>191</v>
      </c>
    </row>
    <row r="34" spans="1:14" x14ac:dyDescent="0.3">
      <c r="A34" s="1" t="s">
        <v>192</v>
      </c>
      <c r="B34" s="1" t="s">
        <v>193</v>
      </c>
      <c r="C34" s="1" t="s">
        <v>47</v>
      </c>
      <c r="D34" s="1" t="s">
        <v>109</v>
      </c>
      <c r="E34" s="1" t="s">
        <v>194</v>
      </c>
      <c r="F34" s="1" t="s">
        <v>32</v>
      </c>
      <c r="G34" s="1" t="s">
        <v>20</v>
      </c>
      <c r="H34" s="1" t="s">
        <v>43</v>
      </c>
      <c r="I34" s="1" t="s">
        <v>22</v>
      </c>
      <c r="J34" s="1" t="s">
        <v>35</v>
      </c>
      <c r="K34" s="1" t="s">
        <v>24</v>
      </c>
      <c r="L34" s="1" t="s">
        <v>72</v>
      </c>
      <c r="M34" s="1" t="s">
        <v>36</v>
      </c>
      <c r="N34" s="1" t="s">
        <v>195</v>
      </c>
    </row>
    <row r="35" spans="1:14" x14ac:dyDescent="0.3">
      <c r="A35" s="1" t="s">
        <v>196</v>
      </c>
      <c r="B35" s="1" t="s">
        <v>197</v>
      </c>
      <c r="C35" s="1" t="s">
        <v>63</v>
      </c>
      <c r="D35" s="1" t="s">
        <v>109</v>
      </c>
      <c r="E35" s="1" t="s">
        <v>110</v>
      </c>
      <c r="F35" s="1" t="s">
        <v>32</v>
      </c>
      <c r="G35" s="1" t="s">
        <v>20</v>
      </c>
      <c r="H35" s="1" t="s">
        <v>66</v>
      </c>
      <c r="I35" s="1" t="s">
        <v>22</v>
      </c>
      <c r="J35" s="1" t="s">
        <v>50</v>
      </c>
      <c r="K35" s="1" t="s">
        <v>24</v>
      </c>
      <c r="L35" s="1" t="s">
        <v>198</v>
      </c>
      <c r="M35" s="1" t="s">
        <v>24</v>
      </c>
      <c r="N35" s="1" t="s">
        <v>199</v>
      </c>
    </row>
    <row r="36" spans="1:14" x14ac:dyDescent="0.3">
      <c r="A36" s="1" t="s">
        <v>200</v>
      </c>
      <c r="B36" s="1" t="s">
        <v>201</v>
      </c>
      <c r="C36" s="1" t="s">
        <v>29</v>
      </c>
      <c r="D36" s="1" t="s">
        <v>170</v>
      </c>
      <c r="E36" s="1" t="s">
        <v>60</v>
      </c>
      <c r="F36" s="1" t="s">
        <v>32</v>
      </c>
      <c r="G36" s="1" t="s">
        <v>20</v>
      </c>
      <c r="H36" s="1" t="s">
        <v>98</v>
      </c>
      <c r="I36" s="1" t="s">
        <v>34</v>
      </c>
      <c r="J36" s="1" t="s">
        <v>35</v>
      </c>
      <c r="K36" s="1" t="s">
        <v>36</v>
      </c>
      <c r="L36" s="1" t="s">
        <v>25</v>
      </c>
      <c r="M36" s="1" t="s">
        <v>36</v>
      </c>
      <c r="N36" s="1" t="s">
        <v>38</v>
      </c>
    </row>
    <row r="37" spans="1:14" x14ac:dyDescent="0.3">
      <c r="A37" s="1" t="s">
        <v>202</v>
      </c>
      <c r="B37" s="1" t="s">
        <v>203</v>
      </c>
      <c r="C37" s="1" t="s">
        <v>204</v>
      </c>
      <c r="D37" s="1" t="s">
        <v>205</v>
      </c>
      <c r="E37" s="1" t="s">
        <v>206</v>
      </c>
      <c r="F37" s="1" t="s">
        <v>32</v>
      </c>
      <c r="G37" s="1" t="s">
        <v>20</v>
      </c>
      <c r="H37" s="1" t="s">
        <v>43</v>
      </c>
      <c r="I37" s="1" t="s">
        <v>34</v>
      </c>
      <c r="J37" s="1" t="s">
        <v>35</v>
      </c>
      <c r="K37" s="1" t="s">
        <v>36</v>
      </c>
      <c r="L37" s="1" t="s">
        <v>25</v>
      </c>
      <c r="M37" s="1" t="s">
        <v>36</v>
      </c>
      <c r="N37" s="1" t="s">
        <v>38</v>
      </c>
    </row>
    <row r="38" spans="1:14" x14ac:dyDescent="0.3">
      <c r="A38" s="1" t="s">
        <v>207</v>
      </c>
      <c r="B38" s="1" t="s">
        <v>208</v>
      </c>
      <c r="C38" s="1" t="s">
        <v>84</v>
      </c>
      <c r="D38" s="1" t="s">
        <v>209</v>
      </c>
      <c r="E38" s="1" t="s">
        <v>210</v>
      </c>
      <c r="F38" s="1" t="s">
        <v>19</v>
      </c>
      <c r="G38" s="1" t="s">
        <v>20</v>
      </c>
      <c r="H38" s="1" t="s">
        <v>43</v>
      </c>
      <c r="I38" s="1" t="s">
        <v>211</v>
      </c>
      <c r="J38" s="1" t="s">
        <v>212</v>
      </c>
      <c r="K38" s="1" t="s">
        <v>36</v>
      </c>
      <c r="L38" s="1" t="s">
        <v>78</v>
      </c>
      <c r="M38" s="1" t="s">
        <v>36</v>
      </c>
      <c r="N38" s="1" t="s">
        <v>213</v>
      </c>
    </row>
    <row r="39" spans="1:14" x14ac:dyDescent="0.3">
      <c r="A39" s="1" t="s">
        <v>214</v>
      </c>
      <c r="B39" s="1" t="s">
        <v>215</v>
      </c>
      <c r="C39" s="1" t="s">
        <v>47</v>
      </c>
      <c r="D39" s="1" t="s">
        <v>30</v>
      </c>
      <c r="E39" s="1" t="s">
        <v>97</v>
      </c>
      <c r="F39" s="1" t="s">
        <v>32</v>
      </c>
      <c r="G39" s="1" t="s">
        <v>20</v>
      </c>
      <c r="H39" s="1" t="s">
        <v>98</v>
      </c>
      <c r="I39" s="1" t="s">
        <v>34</v>
      </c>
      <c r="J39" s="1" t="s">
        <v>50</v>
      </c>
      <c r="K39" s="1" t="s">
        <v>36</v>
      </c>
      <c r="L39" s="1" t="s">
        <v>25</v>
      </c>
      <c r="M39" s="1" t="s">
        <v>36</v>
      </c>
      <c r="N39" s="1" t="s">
        <v>216</v>
      </c>
    </row>
    <row r="40" spans="1:14" x14ac:dyDescent="0.3">
      <c r="A40" s="1" t="s">
        <v>217</v>
      </c>
      <c r="B40" s="1" t="s">
        <v>218</v>
      </c>
      <c r="C40" s="1" t="s">
        <v>16</v>
      </c>
      <c r="D40" s="1" t="s">
        <v>219</v>
      </c>
      <c r="E40" s="1" t="s">
        <v>220</v>
      </c>
      <c r="F40" s="1" t="s">
        <v>19</v>
      </c>
      <c r="G40" s="1" t="s">
        <v>20</v>
      </c>
      <c r="H40" s="1" t="s">
        <v>91</v>
      </c>
      <c r="I40" s="1" t="s">
        <v>34</v>
      </c>
      <c r="J40" s="1" t="s">
        <v>23</v>
      </c>
      <c r="K40" s="1" t="s">
        <v>24</v>
      </c>
      <c r="L40" s="1" t="s">
        <v>72</v>
      </c>
      <c r="M40" s="1" t="s">
        <v>36</v>
      </c>
      <c r="N40" s="1" t="s">
        <v>221</v>
      </c>
    </row>
    <row r="41" spans="1:14" x14ac:dyDescent="0.3">
      <c r="A41" s="1" t="s">
        <v>222</v>
      </c>
      <c r="B41" s="1" t="s">
        <v>223</v>
      </c>
      <c r="C41" s="1" t="s">
        <v>29</v>
      </c>
      <c r="D41" s="1" t="s">
        <v>64</v>
      </c>
      <c r="E41" s="1" t="s">
        <v>60</v>
      </c>
      <c r="F41" s="1" t="s">
        <v>32</v>
      </c>
      <c r="G41" s="1" t="s">
        <v>20</v>
      </c>
      <c r="H41" s="1" t="s">
        <v>33</v>
      </c>
      <c r="I41" s="1" t="s">
        <v>34</v>
      </c>
      <c r="J41" s="1" t="s">
        <v>35</v>
      </c>
      <c r="K41" s="1" t="s">
        <v>36</v>
      </c>
      <c r="L41" s="1" t="s">
        <v>25</v>
      </c>
      <c r="M41" s="1" t="s">
        <v>36</v>
      </c>
      <c r="N41" s="1" t="s">
        <v>38</v>
      </c>
    </row>
    <row r="42" spans="1:14" x14ac:dyDescent="0.3">
      <c r="A42" s="1" t="s">
        <v>224</v>
      </c>
      <c r="B42" s="1" t="s">
        <v>225</v>
      </c>
      <c r="C42" s="1" t="s">
        <v>178</v>
      </c>
      <c r="D42" s="1" t="s">
        <v>64</v>
      </c>
      <c r="E42" s="1" t="s">
        <v>226</v>
      </c>
      <c r="F42" s="1" t="s">
        <v>32</v>
      </c>
      <c r="G42" s="1" t="s">
        <v>20</v>
      </c>
      <c r="H42" s="1" t="s">
        <v>135</v>
      </c>
      <c r="I42" s="1" t="s">
        <v>34</v>
      </c>
      <c r="J42" s="1" t="s">
        <v>35</v>
      </c>
      <c r="K42" s="1" t="s">
        <v>36</v>
      </c>
      <c r="L42" s="1" t="s">
        <v>25</v>
      </c>
      <c r="M42" s="1" t="s">
        <v>36</v>
      </c>
      <c r="N42" s="1" t="s">
        <v>227</v>
      </c>
    </row>
    <row r="43" spans="1:14" x14ac:dyDescent="0.3">
      <c r="A43" s="1" t="s">
        <v>228</v>
      </c>
      <c r="B43" s="1" t="s">
        <v>218</v>
      </c>
      <c r="C43" s="1" t="s">
        <v>16</v>
      </c>
      <c r="D43" s="1" t="s">
        <v>219</v>
      </c>
      <c r="E43" s="1" t="s">
        <v>220</v>
      </c>
      <c r="F43" s="1" t="s">
        <v>19</v>
      </c>
      <c r="G43" s="1" t="s">
        <v>20</v>
      </c>
      <c r="H43" s="1" t="s">
        <v>91</v>
      </c>
      <c r="I43" s="1" t="s">
        <v>34</v>
      </c>
      <c r="J43" s="1" t="s">
        <v>23</v>
      </c>
      <c r="K43" s="1" t="s">
        <v>24</v>
      </c>
      <c r="L43" s="1" t="s">
        <v>72</v>
      </c>
      <c r="M43" s="1" t="s">
        <v>36</v>
      </c>
      <c r="N43" s="1" t="s">
        <v>221</v>
      </c>
    </row>
    <row r="44" spans="1:14" x14ac:dyDescent="0.3">
      <c r="A44" s="1" t="s">
        <v>229</v>
      </c>
      <c r="B44" s="1" t="s">
        <v>208</v>
      </c>
      <c r="C44" s="1" t="s">
        <v>84</v>
      </c>
      <c r="D44" s="1" t="s">
        <v>209</v>
      </c>
      <c r="E44" s="1" t="s">
        <v>210</v>
      </c>
      <c r="F44" s="1" t="s">
        <v>19</v>
      </c>
      <c r="G44" s="1" t="s">
        <v>20</v>
      </c>
      <c r="H44" s="1" t="s">
        <v>43</v>
      </c>
      <c r="I44" s="1" t="s">
        <v>211</v>
      </c>
      <c r="J44" s="1" t="s">
        <v>212</v>
      </c>
      <c r="K44" s="1" t="s">
        <v>36</v>
      </c>
      <c r="L44" s="1" t="s">
        <v>78</v>
      </c>
      <c r="M44" s="1" t="s">
        <v>36</v>
      </c>
      <c r="N44" s="1" t="s">
        <v>213</v>
      </c>
    </row>
    <row r="45" spans="1:14" x14ac:dyDescent="0.3">
      <c r="A45" s="1" t="s">
        <v>230</v>
      </c>
      <c r="B45" s="1" t="s">
        <v>203</v>
      </c>
      <c r="C45" s="1" t="s">
        <v>204</v>
      </c>
      <c r="D45" s="1" t="s">
        <v>205</v>
      </c>
      <c r="E45" s="1" t="s">
        <v>206</v>
      </c>
      <c r="F45" s="1" t="s">
        <v>32</v>
      </c>
      <c r="G45" s="1" t="s">
        <v>20</v>
      </c>
      <c r="H45" s="1" t="s">
        <v>43</v>
      </c>
      <c r="I45" s="1" t="s">
        <v>34</v>
      </c>
      <c r="J45" s="1" t="s">
        <v>35</v>
      </c>
      <c r="K45" s="1" t="s">
        <v>36</v>
      </c>
      <c r="L45" s="1" t="s">
        <v>25</v>
      </c>
      <c r="M45" s="1" t="s">
        <v>36</v>
      </c>
      <c r="N45" s="1" t="s">
        <v>38</v>
      </c>
    </row>
    <row r="46" spans="1:14" x14ac:dyDescent="0.3">
      <c r="A46" s="1" t="s">
        <v>231</v>
      </c>
      <c r="B46" s="1" t="s">
        <v>223</v>
      </c>
      <c r="C46" s="1" t="s">
        <v>29</v>
      </c>
      <c r="D46" s="1" t="s">
        <v>64</v>
      </c>
      <c r="E46" s="1" t="s">
        <v>60</v>
      </c>
      <c r="F46" s="1" t="s">
        <v>32</v>
      </c>
      <c r="G46" s="1" t="s">
        <v>20</v>
      </c>
      <c r="H46" s="1" t="s">
        <v>33</v>
      </c>
      <c r="I46" s="1" t="s">
        <v>34</v>
      </c>
      <c r="J46" s="1" t="s">
        <v>35</v>
      </c>
      <c r="K46" s="1" t="s">
        <v>36</v>
      </c>
      <c r="L46" s="1" t="s">
        <v>25</v>
      </c>
      <c r="M46" s="1" t="s">
        <v>36</v>
      </c>
      <c r="N46" s="1" t="s">
        <v>38</v>
      </c>
    </row>
    <row r="47" spans="1:14" x14ac:dyDescent="0.3">
      <c r="A47" s="1" t="s">
        <v>232</v>
      </c>
      <c r="B47" s="1" t="s">
        <v>215</v>
      </c>
      <c r="C47" s="1" t="s">
        <v>47</v>
      </c>
      <c r="D47" s="1" t="s">
        <v>30</v>
      </c>
      <c r="E47" s="1" t="s">
        <v>97</v>
      </c>
      <c r="F47" s="1" t="s">
        <v>32</v>
      </c>
      <c r="G47" s="1" t="s">
        <v>20</v>
      </c>
      <c r="H47" s="1" t="s">
        <v>98</v>
      </c>
      <c r="I47" s="1" t="s">
        <v>34</v>
      </c>
      <c r="J47" s="1" t="s">
        <v>50</v>
      </c>
      <c r="K47" s="1" t="s">
        <v>36</v>
      </c>
      <c r="L47" s="1" t="s">
        <v>25</v>
      </c>
      <c r="M47" s="1" t="s">
        <v>36</v>
      </c>
      <c r="N47" s="1" t="s">
        <v>216</v>
      </c>
    </row>
    <row r="48" spans="1:14" x14ac:dyDescent="0.3">
      <c r="A48" s="1" t="s">
        <v>233</v>
      </c>
      <c r="B48" s="1" t="s">
        <v>234</v>
      </c>
      <c r="C48" s="1" t="s">
        <v>16</v>
      </c>
      <c r="D48" s="1" t="s">
        <v>235</v>
      </c>
      <c r="E48" s="1" t="s">
        <v>236</v>
      </c>
      <c r="F48" s="1" t="s">
        <v>19</v>
      </c>
      <c r="G48" s="1" t="s">
        <v>20</v>
      </c>
      <c r="H48" s="1" t="s">
        <v>33</v>
      </c>
      <c r="I48" s="1" t="s">
        <v>34</v>
      </c>
      <c r="J48" s="1" t="s">
        <v>35</v>
      </c>
      <c r="K48" s="1" t="s">
        <v>36</v>
      </c>
      <c r="L48" s="1" t="s">
        <v>25</v>
      </c>
      <c r="M48" s="1" t="s">
        <v>237</v>
      </c>
      <c r="N48" s="1" t="s">
        <v>238</v>
      </c>
    </row>
    <row r="49" spans="1:14" x14ac:dyDescent="0.3">
      <c r="A49" s="1" t="s">
        <v>239</v>
      </c>
      <c r="B49" s="1" t="s">
        <v>240</v>
      </c>
      <c r="C49" s="1" t="s">
        <v>17</v>
      </c>
      <c r="D49" s="1" t="s">
        <v>241</v>
      </c>
      <c r="E49" s="1" t="s">
        <v>242</v>
      </c>
      <c r="F49" s="1" t="s">
        <v>19</v>
      </c>
      <c r="G49" s="1" t="s">
        <v>20</v>
      </c>
      <c r="H49" s="1" t="s">
        <v>243</v>
      </c>
      <c r="I49" s="1" t="s">
        <v>22</v>
      </c>
      <c r="J49" s="1" t="s">
        <v>23</v>
      </c>
      <c r="K49" s="1" t="s">
        <v>36</v>
      </c>
      <c r="L49" s="1" t="s">
        <v>72</v>
      </c>
      <c r="M49" s="1" t="s">
        <v>36</v>
      </c>
      <c r="N49" s="1" t="s">
        <v>244</v>
      </c>
    </row>
    <row r="50" spans="1:14" x14ac:dyDescent="0.3">
      <c r="A50" s="1" t="s">
        <v>245</v>
      </c>
      <c r="B50" s="1" t="s">
        <v>246</v>
      </c>
      <c r="C50" s="1" t="s">
        <v>16</v>
      </c>
      <c r="D50" s="1" t="s">
        <v>170</v>
      </c>
      <c r="E50" s="1" t="s">
        <v>77</v>
      </c>
      <c r="F50" s="1" t="s">
        <v>19</v>
      </c>
      <c r="G50" s="1" t="s">
        <v>20</v>
      </c>
      <c r="H50" s="1" t="s">
        <v>33</v>
      </c>
      <c r="I50" s="1" t="s">
        <v>22</v>
      </c>
      <c r="J50" s="1" t="s">
        <v>50</v>
      </c>
      <c r="K50" s="1" t="s">
        <v>24</v>
      </c>
      <c r="L50" s="1" t="s">
        <v>25</v>
      </c>
      <c r="M50" s="1" t="s">
        <v>36</v>
      </c>
      <c r="N50" s="1" t="s">
        <v>247</v>
      </c>
    </row>
    <row r="51" spans="1:14" x14ac:dyDescent="0.3">
      <c r="A51" s="1" t="s">
        <v>248</v>
      </c>
      <c r="B51" s="1" t="s">
        <v>249</v>
      </c>
      <c r="C51" s="1" t="s">
        <v>63</v>
      </c>
      <c r="D51" s="1" t="s">
        <v>250</v>
      </c>
      <c r="E51" s="1" t="s">
        <v>251</v>
      </c>
      <c r="F51" s="1" t="s">
        <v>32</v>
      </c>
      <c r="G51" s="1" t="s">
        <v>20</v>
      </c>
      <c r="H51" s="1" t="s">
        <v>21</v>
      </c>
      <c r="I51" s="1" t="s">
        <v>22</v>
      </c>
      <c r="J51" s="1" t="s">
        <v>23</v>
      </c>
      <c r="K51" s="1" t="s">
        <v>36</v>
      </c>
      <c r="L51" s="1" t="s">
        <v>25</v>
      </c>
      <c r="M51" s="1" t="s">
        <v>36</v>
      </c>
      <c r="N51" s="1" t="s">
        <v>252</v>
      </c>
    </row>
    <row r="52" spans="1:14" x14ac:dyDescent="0.3">
      <c r="A52" s="1" t="s">
        <v>253</v>
      </c>
      <c r="B52" s="1" t="s">
        <v>254</v>
      </c>
      <c r="C52" s="1" t="s">
        <v>47</v>
      </c>
      <c r="D52" s="1" t="s">
        <v>255</v>
      </c>
      <c r="E52" s="1" t="s">
        <v>256</v>
      </c>
      <c r="F52" s="1" t="s">
        <v>32</v>
      </c>
      <c r="G52" s="1" t="s">
        <v>20</v>
      </c>
      <c r="H52" s="1" t="s">
        <v>105</v>
      </c>
      <c r="I52" s="1" t="s">
        <v>34</v>
      </c>
      <c r="J52" s="1" t="s">
        <v>23</v>
      </c>
      <c r="K52" s="1" t="s">
        <v>36</v>
      </c>
      <c r="L52" s="1" t="s">
        <v>72</v>
      </c>
      <c r="M52" s="1" t="s">
        <v>24</v>
      </c>
      <c r="N52" s="1" t="s">
        <v>257</v>
      </c>
    </row>
    <row r="53" spans="1:14" x14ac:dyDescent="0.3">
      <c r="A53" s="1" t="s">
        <v>258</v>
      </c>
      <c r="B53" s="1" t="s">
        <v>259</v>
      </c>
      <c r="C53" s="1" t="s">
        <v>260</v>
      </c>
      <c r="D53" s="1" t="s">
        <v>261</v>
      </c>
      <c r="E53" s="1" t="s">
        <v>31</v>
      </c>
      <c r="F53" s="1" t="s">
        <v>19</v>
      </c>
      <c r="G53" s="1" t="s">
        <v>20</v>
      </c>
      <c r="H53" s="1" t="s">
        <v>33</v>
      </c>
      <c r="I53" s="1" t="s">
        <v>22</v>
      </c>
      <c r="J53" s="1" t="s">
        <v>50</v>
      </c>
      <c r="K53" s="1" t="s">
        <v>24</v>
      </c>
      <c r="L53" s="1" t="s">
        <v>25</v>
      </c>
      <c r="M53" s="1" t="s">
        <v>24</v>
      </c>
      <c r="N53" s="1" t="s">
        <v>216</v>
      </c>
    </row>
    <row r="54" spans="1:14" x14ac:dyDescent="0.3">
      <c r="A54" s="1" t="s">
        <v>262</v>
      </c>
      <c r="B54" s="1" t="s">
        <v>263</v>
      </c>
      <c r="C54" s="1" t="s">
        <v>29</v>
      </c>
      <c r="D54" s="1" t="s">
        <v>64</v>
      </c>
      <c r="E54" s="1" t="s">
        <v>60</v>
      </c>
      <c r="F54" s="1" t="s">
        <v>32</v>
      </c>
      <c r="G54" s="1" t="s">
        <v>20</v>
      </c>
      <c r="H54" s="1" t="s">
        <v>66</v>
      </c>
      <c r="I54" s="1" t="s">
        <v>34</v>
      </c>
      <c r="J54" s="1" t="s">
        <v>35</v>
      </c>
      <c r="K54" s="1" t="s">
        <v>36</v>
      </c>
      <c r="L54" s="1" t="s">
        <v>25</v>
      </c>
      <c r="M54" s="1" t="s">
        <v>36</v>
      </c>
      <c r="N54" s="1" t="s">
        <v>38</v>
      </c>
    </row>
    <row r="55" spans="1:14" x14ac:dyDescent="0.3">
      <c r="A55" s="1" t="s">
        <v>264</v>
      </c>
      <c r="B55" s="1" t="s">
        <v>265</v>
      </c>
      <c r="C55" s="1" t="s">
        <v>266</v>
      </c>
      <c r="D55" s="1" t="s">
        <v>116</v>
      </c>
      <c r="E55" s="1" t="s">
        <v>194</v>
      </c>
      <c r="F55" s="1" t="s">
        <v>19</v>
      </c>
      <c r="G55" s="1" t="s">
        <v>20</v>
      </c>
      <c r="H55" s="1" t="s">
        <v>43</v>
      </c>
      <c r="I55" s="1" t="s">
        <v>34</v>
      </c>
      <c r="J55" s="1" t="s">
        <v>35</v>
      </c>
      <c r="K55" s="1" t="s">
        <v>36</v>
      </c>
      <c r="L55" s="1" t="s">
        <v>25</v>
      </c>
      <c r="M55" s="1" t="s">
        <v>36</v>
      </c>
      <c r="N55" s="1" t="s">
        <v>238</v>
      </c>
    </row>
    <row r="56" spans="1:14" x14ac:dyDescent="0.3">
      <c r="A56" s="1" t="s">
        <v>267</v>
      </c>
      <c r="B56" s="1" t="s">
        <v>268</v>
      </c>
      <c r="C56" s="1" t="s">
        <v>115</v>
      </c>
      <c r="D56" s="1" t="s">
        <v>269</v>
      </c>
      <c r="E56" s="1" t="s">
        <v>270</v>
      </c>
      <c r="F56" s="1" t="s">
        <v>19</v>
      </c>
      <c r="G56" s="1" t="s">
        <v>20</v>
      </c>
      <c r="H56" s="1" t="s">
        <v>105</v>
      </c>
      <c r="I56" s="1" t="s">
        <v>34</v>
      </c>
      <c r="J56" s="1" t="s">
        <v>35</v>
      </c>
      <c r="K56" s="1" t="s">
        <v>36</v>
      </c>
      <c r="L56" s="1" t="s">
        <v>271</v>
      </c>
      <c r="M56" s="1" t="s">
        <v>24</v>
      </c>
      <c r="N56" s="1" t="s">
        <v>272</v>
      </c>
    </row>
    <row r="57" spans="1:14" x14ac:dyDescent="0.3">
      <c r="A57" s="1" t="s">
        <v>273</v>
      </c>
      <c r="B57" s="1" t="s">
        <v>274</v>
      </c>
      <c r="C57" s="1" t="s">
        <v>84</v>
      </c>
      <c r="D57" s="1" t="s">
        <v>275</v>
      </c>
      <c r="E57" s="1" t="s">
        <v>187</v>
      </c>
      <c r="F57" s="1" t="s">
        <v>32</v>
      </c>
      <c r="G57" s="1" t="s">
        <v>20</v>
      </c>
      <c r="H57" s="1" t="s">
        <v>98</v>
      </c>
      <c r="I57" s="1" t="s">
        <v>34</v>
      </c>
      <c r="J57" s="1" t="s">
        <v>50</v>
      </c>
      <c r="K57" s="1" t="s">
        <v>24</v>
      </c>
      <c r="L57" s="1" t="s">
        <v>25</v>
      </c>
      <c r="M57" s="1" t="s">
        <v>36</v>
      </c>
      <c r="N57" s="1" t="s">
        <v>158</v>
      </c>
    </row>
    <row r="58" spans="1:14" x14ac:dyDescent="0.3">
      <c r="A58" s="1" t="s">
        <v>276</v>
      </c>
      <c r="B58" s="1" t="s">
        <v>277</v>
      </c>
      <c r="C58" s="1" t="s">
        <v>41</v>
      </c>
      <c r="D58" s="1" t="s">
        <v>48</v>
      </c>
      <c r="E58" s="1" t="s">
        <v>278</v>
      </c>
      <c r="F58" s="1" t="s">
        <v>32</v>
      </c>
      <c r="G58" s="1" t="s">
        <v>20</v>
      </c>
      <c r="H58" s="1" t="s">
        <v>66</v>
      </c>
      <c r="I58" s="1" t="s">
        <v>22</v>
      </c>
      <c r="J58" s="1" t="s">
        <v>35</v>
      </c>
      <c r="K58" s="1" t="s">
        <v>36</v>
      </c>
      <c r="L58" s="1" t="s">
        <v>72</v>
      </c>
      <c r="M58" s="1" t="s">
        <v>36</v>
      </c>
      <c r="N58" s="1" t="s">
        <v>279</v>
      </c>
    </row>
    <row r="59" spans="1:14" x14ac:dyDescent="0.3">
      <c r="A59" s="1" t="s">
        <v>280</v>
      </c>
      <c r="B59" s="1" t="s">
        <v>281</v>
      </c>
      <c r="C59" s="1" t="s">
        <v>25</v>
      </c>
      <c r="D59" s="1" t="s">
        <v>47</v>
      </c>
      <c r="E59" s="1" t="s">
        <v>25</v>
      </c>
      <c r="F59" s="1" t="s">
        <v>32</v>
      </c>
      <c r="G59" s="1" t="s">
        <v>20</v>
      </c>
      <c r="H59" s="1" t="s">
        <v>43</v>
      </c>
      <c r="I59" s="1" t="s">
        <v>22</v>
      </c>
      <c r="J59" s="1" t="s">
        <v>50</v>
      </c>
      <c r="K59" s="1" t="s">
        <v>24</v>
      </c>
      <c r="L59" s="1" t="s">
        <v>72</v>
      </c>
      <c r="M59" s="1" t="s">
        <v>36</v>
      </c>
      <c r="N59" s="1" t="s">
        <v>73</v>
      </c>
    </row>
    <row r="60" spans="1:14" x14ac:dyDescent="0.3">
      <c r="A60" s="1" t="s">
        <v>282</v>
      </c>
      <c r="B60" s="1" t="s">
        <v>283</v>
      </c>
      <c r="C60" s="1" t="s">
        <v>126</v>
      </c>
      <c r="D60" s="1" t="s">
        <v>84</v>
      </c>
      <c r="E60" s="1" t="s">
        <v>242</v>
      </c>
      <c r="F60" s="1" t="s">
        <v>32</v>
      </c>
      <c r="G60" s="1" t="s">
        <v>20</v>
      </c>
      <c r="H60" s="1" t="s">
        <v>91</v>
      </c>
      <c r="I60" s="1" t="s">
        <v>34</v>
      </c>
      <c r="J60" s="1" t="s">
        <v>23</v>
      </c>
      <c r="K60" s="1" t="s">
        <v>24</v>
      </c>
      <c r="L60" s="1" t="s">
        <v>25</v>
      </c>
      <c r="M60" s="1" t="s">
        <v>36</v>
      </c>
      <c r="N60" s="1" t="s">
        <v>106</v>
      </c>
    </row>
    <row r="61" spans="1:14" x14ac:dyDescent="0.3">
      <c r="A61" s="1" t="s">
        <v>284</v>
      </c>
      <c r="B61" s="1" t="s">
        <v>285</v>
      </c>
      <c r="C61" s="1" t="s">
        <v>16</v>
      </c>
      <c r="D61" s="1" t="s">
        <v>152</v>
      </c>
      <c r="E61" s="1" t="s">
        <v>71</v>
      </c>
      <c r="F61" s="1" t="s">
        <v>19</v>
      </c>
      <c r="G61" s="1" t="s">
        <v>20</v>
      </c>
      <c r="H61" s="1" t="s">
        <v>21</v>
      </c>
      <c r="I61" s="1" t="s">
        <v>34</v>
      </c>
      <c r="J61" s="1" t="s">
        <v>35</v>
      </c>
      <c r="K61" s="1" t="s">
        <v>36</v>
      </c>
      <c r="L61" s="1" t="s">
        <v>25</v>
      </c>
      <c r="M61" s="1" t="s">
        <v>36</v>
      </c>
      <c r="N61" s="1" t="s">
        <v>238</v>
      </c>
    </row>
    <row r="62" spans="1:14" x14ac:dyDescent="0.3">
      <c r="A62" s="1" t="s">
        <v>286</v>
      </c>
      <c r="B62" s="1" t="s">
        <v>287</v>
      </c>
      <c r="C62" s="1" t="s">
        <v>29</v>
      </c>
      <c r="D62" s="1" t="s">
        <v>288</v>
      </c>
      <c r="E62" s="1" t="s">
        <v>236</v>
      </c>
      <c r="F62" s="1" t="s">
        <v>19</v>
      </c>
      <c r="G62" s="1" t="s">
        <v>20</v>
      </c>
      <c r="H62" s="1" t="s">
        <v>66</v>
      </c>
      <c r="I62" s="1" t="s">
        <v>22</v>
      </c>
      <c r="J62" s="1" t="s">
        <v>50</v>
      </c>
      <c r="K62" s="1" t="s">
        <v>36</v>
      </c>
      <c r="L62" s="1" t="s">
        <v>25</v>
      </c>
      <c r="M62" s="1" t="s">
        <v>36</v>
      </c>
      <c r="N62" s="1" t="s">
        <v>289</v>
      </c>
    </row>
    <row r="63" spans="1:14" x14ac:dyDescent="0.3">
      <c r="A63" s="1" t="s">
        <v>290</v>
      </c>
      <c r="B63" s="1" t="s">
        <v>291</v>
      </c>
      <c r="C63" s="1" t="s">
        <v>292</v>
      </c>
      <c r="D63" s="1" t="s">
        <v>64</v>
      </c>
      <c r="E63" s="1" t="s">
        <v>31</v>
      </c>
      <c r="F63" s="1" t="s">
        <v>32</v>
      </c>
      <c r="G63" s="1" t="s">
        <v>20</v>
      </c>
      <c r="H63" s="1" t="s">
        <v>21</v>
      </c>
      <c r="I63" s="1" t="s">
        <v>34</v>
      </c>
      <c r="J63" s="1" t="s">
        <v>293</v>
      </c>
      <c r="K63" s="1" t="s">
        <v>36</v>
      </c>
      <c r="L63" s="1" t="s">
        <v>25</v>
      </c>
      <c r="M63" s="1" t="s">
        <v>36</v>
      </c>
      <c r="N63" s="1" t="s">
        <v>294</v>
      </c>
    </row>
    <row r="64" spans="1:14" x14ac:dyDescent="0.3">
      <c r="A64" s="1" t="s">
        <v>295</v>
      </c>
      <c r="B64" s="1" t="s">
        <v>296</v>
      </c>
      <c r="C64" s="1" t="s">
        <v>297</v>
      </c>
      <c r="D64" s="1" t="s">
        <v>157</v>
      </c>
      <c r="E64" s="1" t="s">
        <v>110</v>
      </c>
      <c r="F64" s="1" t="s">
        <v>19</v>
      </c>
      <c r="G64" s="1" t="s">
        <v>20</v>
      </c>
      <c r="H64" s="1" t="s">
        <v>33</v>
      </c>
      <c r="I64" s="1" t="s">
        <v>22</v>
      </c>
      <c r="J64" s="1" t="s">
        <v>35</v>
      </c>
      <c r="K64" s="1" t="s">
        <v>36</v>
      </c>
      <c r="L64" s="1" t="s">
        <v>25</v>
      </c>
      <c r="M64" s="1" t="s">
        <v>36</v>
      </c>
      <c r="N64" s="1" t="s">
        <v>38</v>
      </c>
    </row>
    <row r="65" spans="1:14" x14ac:dyDescent="0.3">
      <c r="A65" s="1" t="s">
        <v>298</v>
      </c>
      <c r="B65" s="1" t="s">
        <v>299</v>
      </c>
      <c r="C65" s="1" t="s">
        <v>54</v>
      </c>
      <c r="D65" s="1" t="s">
        <v>157</v>
      </c>
      <c r="E65" s="1" t="s">
        <v>147</v>
      </c>
      <c r="F65" s="1" t="s">
        <v>32</v>
      </c>
      <c r="G65" s="1" t="s">
        <v>20</v>
      </c>
      <c r="H65" s="1" t="s">
        <v>66</v>
      </c>
      <c r="I65" s="1" t="s">
        <v>22</v>
      </c>
      <c r="J65" s="1" t="s">
        <v>50</v>
      </c>
      <c r="K65" s="1" t="s">
        <v>36</v>
      </c>
      <c r="L65" s="1" t="s">
        <v>72</v>
      </c>
      <c r="M65" s="1" t="s">
        <v>36</v>
      </c>
      <c r="N65" s="1" t="s">
        <v>300</v>
      </c>
    </row>
    <row r="66" spans="1:14" x14ac:dyDescent="0.3">
      <c r="A66" s="1" t="s">
        <v>301</v>
      </c>
      <c r="B66" s="1" t="s">
        <v>302</v>
      </c>
      <c r="C66" s="1" t="s">
        <v>16</v>
      </c>
      <c r="D66" s="1" t="s">
        <v>161</v>
      </c>
      <c r="E66" s="1" t="s">
        <v>147</v>
      </c>
      <c r="F66" s="1" t="s">
        <v>32</v>
      </c>
      <c r="G66" s="1" t="s">
        <v>20</v>
      </c>
      <c r="H66" s="1" t="s">
        <v>21</v>
      </c>
      <c r="I66" s="1" t="s">
        <v>22</v>
      </c>
      <c r="J66" s="1" t="s">
        <v>23</v>
      </c>
      <c r="K66" s="1" t="s">
        <v>24</v>
      </c>
      <c r="L66" s="1" t="s">
        <v>25</v>
      </c>
      <c r="M66" s="1" t="s">
        <v>24</v>
      </c>
      <c r="N66" s="1" t="s">
        <v>303</v>
      </c>
    </row>
    <row r="67" spans="1:14" x14ac:dyDescent="0.3">
      <c r="A67" s="1" t="s">
        <v>304</v>
      </c>
      <c r="B67" s="1" t="s">
        <v>305</v>
      </c>
      <c r="C67" s="1" t="s">
        <v>306</v>
      </c>
      <c r="D67" s="1" t="s">
        <v>241</v>
      </c>
      <c r="E67" s="1" t="s">
        <v>278</v>
      </c>
      <c r="F67" s="1" t="s">
        <v>32</v>
      </c>
      <c r="G67" s="1" t="s">
        <v>20</v>
      </c>
      <c r="H67" s="1" t="s">
        <v>43</v>
      </c>
      <c r="I67" s="1" t="s">
        <v>22</v>
      </c>
      <c r="J67" s="1" t="s">
        <v>35</v>
      </c>
      <c r="K67" s="1" t="s">
        <v>24</v>
      </c>
      <c r="L67" s="1" t="s">
        <v>154</v>
      </c>
      <c r="M67" s="1" t="s">
        <v>36</v>
      </c>
      <c r="N67" s="1" t="s">
        <v>307</v>
      </c>
    </row>
    <row r="68" spans="1:14" x14ac:dyDescent="0.3">
      <c r="A68" s="1" t="s">
        <v>308</v>
      </c>
      <c r="B68" s="1" t="s">
        <v>309</v>
      </c>
      <c r="C68" s="1" t="s">
        <v>41</v>
      </c>
      <c r="D68" s="1" t="s">
        <v>146</v>
      </c>
      <c r="E68" s="1" t="s">
        <v>270</v>
      </c>
      <c r="F68" s="1" t="s">
        <v>32</v>
      </c>
      <c r="G68" s="1" t="s">
        <v>20</v>
      </c>
      <c r="H68" s="1" t="s">
        <v>43</v>
      </c>
      <c r="I68" s="1" t="s">
        <v>22</v>
      </c>
      <c r="J68" s="1" t="s">
        <v>35</v>
      </c>
      <c r="K68" s="1" t="s">
        <v>36</v>
      </c>
      <c r="L68" s="1" t="s">
        <v>72</v>
      </c>
      <c r="M68" s="1" t="s">
        <v>310</v>
      </c>
      <c r="N68" s="1" t="s">
        <v>311</v>
      </c>
    </row>
    <row r="69" spans="1:14" x14ac:dyDescent="0.3">
      <c r="A69" s="1" t="s">
        <v>312</v>
      </c>
      <c r="B69" s="1" t="s">
        <v>313</v>
      </c>
      <c r="C69" s="1" t="s">
        <v>63</v>
      </c>
      <c r="D69" s="1" t="s">
        <v>161</v>
      </c>
      <c r="E69" s="1" t="s">
        <v>49</v>
      </c>
      <c r="F69" s="1" t="s">
        <v>19</v>
      </c>
      <c r="G69" s="1" t="s">
        <v>20</v>
      </c>
      <c r="H69" s="1" t="s">
        <v>66</v>
      </c>
      <c r="I69" s="1" t="s">
        <v>34</v>
      </c>
      <c r="J69" s="1" t="s">
        <v>35</v>
      </c>
      <c r="K69" s="1" t="s">
        <v>36</v>
      </c>
      <c r="L69" s="1" t="s">
        <v>25</v>
      </c>
      <c r="M69" s="1" t="s">
        <v>36</v>
      </c>
      <c r="N69" s="1" t="s">
        <v>238</v>
      </c>
    </row>
    <row r="70" spans="1:14" x14ac:dyDescent="0.3">
      <c r="A70" s="1" t="s">
        <v>314</v>
      </c>
      <c r="B70" s="1" t="s">
        <v>315</v>
      </c>
      <c r="C70" s="1" t="s">
        <v>316</v>
      </c>
      <c r="D70" s="1" t="s">
        <v>48</v>
      </c>
      <c r="E70" s="1" t="s">
        <v>317</v>
      </c>
      <c r="F70" s="1" t="s">
        <v>32</v>
      </c>
      <c r="G70" s="1" t="s">
        <v>20</v>
      </c>
      <c r="H70" s="1" t="s">
        <v>43</v>
      </c>
      <c r="I70" s="1" t="s">
        <v>22</v>
      </c>
      <c r="J70" s="1" t="s">
        <v>35</v>
      </c>
      <c r="K70" s="1" t="s">
        <v>24</v>
      </c>
      <c r="L70" s="1" t="s">
        <v>318</v>
      </c>
      <c r="M70" s="1" t="s">
        <v>36</v>
      </c>
      <c r="N70" s="1" t="s">
        <v>319</v>
      </c>
    </row>
    <row r="71" spans="1:14" x14ac:dyDescent="0.3">
      <c r="A71" s="1" t="s">
        <v>320</v>
      </c>
      <c r="B71" s="1" t="s">
        <v>321</v>
      </c>
      <c r="C71" s="1" t="s">
        <v>47</v>
      </c>
      <c r="D71" s="1" t="s">
        <v>142</v>
      </c>
      <c r="E71" s="1" t="s">
        <v>143</v>
      </c>
      <c r="F71" s="1" t="s">
        <v>32</v>
      </c>
      <c r="G71" s="1" t="s">
        <v>20</v>
      </c>
      <c r="H71" s="1" t="s">
        <v>322</v>
      </c>
      <c r="I71" s="1" t="s">
        <v>22</v>
      </c>
      <c r="J71" s="1" t="s">
        <v>23</v>
      </c>
      <c r="K71" s="1" t="s">
        <v>24</v>
      </c>
      <c r="L71" s="1" t="s">
        <v>25</v>
      </c>
      <c r="M71" s="1" t="s">
        <v>24</v>
      </c>
      <c r="N71" s="1" t="s">
        <v>323</v>
      </c>
    </row>
    <row r="72" spans="1:14" x14ac:dyDescent="0.3">
      <c r="A72" s="1" t="s">
        <v>324</v>
      </c>
      <c r="B72" s="1" t="s">
        <v>325</v>
      </c>
      <c r="C72" s="1" t="s">
        <v>16</v>
      </c>
      <c r="D72" s="1" t="s">
        <v>70</v>
      </c>
      <c r="E72" s="1" t="s">
        <v>71</v>
      </c>
      <c r="F72" s="1" t="s">
        <v>32</v>
      </c>
      <c r="G72" s="1" t="s">
        <v>20</v>
      </c>
      <c r="H72" s="1" t="s">
        <v>33</v>
      </c>
      <c r="I72" s="1" t="s">
        <v>22</v>
      </c>
      <c r="J72" s="1" t="s">
        <v>326</v>
      </c>
      <c r="K72" s="1" t="s">
        <v>36</v>
      </c>
      <c r="L72" s="1" t="s">
        <v>72</v>
      </c>
      <c r="M72" s="1" t="s">
        <v>36</v>
      </c>
      <c r="N72" s="1" t="s">
        <v>73</v>
      </c>
    </row>
    <row r="73" spans="1:14" x14ac:dyDescent="0.3">
      <c r="A73" s="1" t="s">
        <v>327</v>
      </c>
      <c r="B73" s="1" t="s">
        <v>328</v>
      </c>
      <c r="C73" s="1" t="s">
        <v>329</v>
      </c>
      <c r="D73" s="1" t="s">
        <v>205</v>
      </c>
      <c r="E73" s="1" t="s">
        <v>330</v>
      </c>
      <c r="F73" s="1" t="s">
        <v>32</v>
      </c>
      <c r="G73" s="1" t="s">
        <v>20</v>
      </c>
      <c r="H73" s="1" t="s">
        <v>322</v>
      </c>
      <c r="I73" s="1" t="s">
        <v>22</v>
      </c>
      <c r="J73" s="1" t="s">
        <v>35</v>
      </c>
      <c r="K73" s="1" t="s">
        <v>24</v>
      </c>
      <c r="L73" s="1" t="s">
        <v>331</v>
      </c>
      <c r="M73" s="1" t="s">
        <v>36</v>
      </c>
      <c r="N73" s="1" t="s">
        <v>332</v>
      </c>
    </row>
    <row r="74" spans="1:14" x14ac:dyDescent="0.3">
      <c r="A74" s="1" t="s">
        <v>333</v>
      </c>
      <c r="B74" s="1" t="s">
        <v>334</v>
      </c>
      <c r="C74" s="1" t="s">
        <v>16</v>
      </c>
      <c r="D74" s="1" t="s">
        <v>335</v>
      </c>
      <c r="E74" s="1" t="s">
        <v>77</v>
      </c>
      <c r="F74" s="1" t="s">
        <v>19</v>
      </c>
      <c r="G74" s="1" t="s">
        <v>20</v>
      </c>
      <c r="H74" s="1" t="s">
        <v>33</v>
      </c>
      <c r="I74" s="1" t="s">
        <v>34</v>
      </c>
      <c r="J74" s="1" t="s">
        <v>35</v>
      </c>
      <c r="K74" s="1" t="s">
        <v>36</v>
      </c>
      <c r="L74" s="1" t="s">
        <v>25</v>
      </c>
      <c r="M74" s="1" t="s">
        <v>36</v>
      </c>
      <c r="N74" s="1" t="s">
        <v>336</v>
      </c>
    </row>
    <row r="75" spans="1:14" x14ac:dyDescent="0.3">
      <c r="A75" s="1" t="s">
        <v>337</v>
      </c>
      <c r="B75" s="1" t="s">
        <v>338</v>
      </c>
      <c r="C75" s="1" t="s">
        <v>339</v>
      </c>
      <c r="D75" s="1" t="s">
        <v>186</v>
      </c>
      <c r="E75" s="1" t="s">
        <v>251</v>
      </c>
      <c r="F75" s="1" t="s">
        <v>32</v>
      </c>
      <c r="G75" s="1" t="s">
        <v>20</v>
      </c>
      <c r="H75" s="1" t="s">
        <v>43</v>
      </c>
      <c r="I75" s="1" t="s">
        <v>22</v>
      </c>
      <c r="J75" s="1" t="s">
        <v>35</v>
      </c>
      <c r="K75" s="1" t="s">
        <v>24</v>
      </c>
      <c r="L75" s="1" t="s">
        <v>72</v>
      </c>
      <c r="M75" s="1" t="s">
        <v>36</v>
      </c>
      <c r="N75" s="1" t="s">
        <v>340</v>
      </c>
    </row>
    <row r="76" spans="1:14" x14ac:dyDescent="0.3">
      <c r="A76" s="1" t="s">
        <v>341</v>
      </c>
      <c r="B76" s="1" t="s">
        <v>342</v>
      </c>
      <c r="C76" s="1" t="s">
        <v>47</v>
      </c>
      <c r="D76" s="1" t="s">
        <v>157</v>
      </c>
      <c r="E76" s="1" t="s">
        <v>147</v>
      </c>
      <c r="F76" s="1" t="s">
        <v>32</v>
      </c>
      <c r="G76" s="1" t="s">
        <v>20</v>
      </c>
      <c r="H76" s="1" t="s">
        <v>66</v>
      </c>
      <c r="I76" s="1" t="s">
        <v>34</v>
      </c>
      <c r="J76" s="1" t="s">
        <v>35</v>
      </c>
      <c r="K76" s="1" t="s">
        <v>24</v>
      </c>
      <c r="L76" s="1" t="s">
        <v>25</v>
      </c>
      <c r="M76" s="1" t="s">
        <v>24</v>
      </c>
      <c r="N76" s="1" t="s">
        <v>343</v>
      </c>
    </row>
    <row r="77" spans="1:14" x14ac:dyDescent="0.3">
      <c r="A77" s="1" t="s">
        <v>344</v>
      </c>
      <c r="B77" s="1" t="s">
        <v>345</v>
      </c>
      <c r="C77" s="1" t="s">
        <v>16</v>
      </c>
      <c r="D77" s="1" t="s">
        <v>335</v>
      </c>
      <c r="E77" s="1" t="s">
        <v>77</v>
      </c>
      <c r="F77" s="1" t="s">
        <v>32</v>
      </c>
      <c r="G77" s="1" t="s">
        <v>20</v>
      </c>
      <c r="H77" s="1" t="s">
        <v>33</v>
      </c>
      <c r="I77" s="1" t="s">
        <v>22</v>
      </c>
      <c r="J77" s="1" t="s">
        <v>35</v>
      </c>
      <c r="K77" s="1" t="s">
        <v>24</v>
      </c>
      <c r="L77" s="1" t="s">
        <v>72</v>
      </c>
      <c r="M77" s="1" t="s">
        <v>36</v>
      </c>
      <c r="N77" s="1" t="s">
        <v>73</v>
      </c>
    </row>
    <row r="78" spans="1:14" x14ac:dyDescent="0.3">
      <c r="A78" s="1" t="s">
        <v>346</v>
      </c>
      <c r="B78" s="1" t="s">
        <v>347</v>
      </c>
      <c r="C78" s="1" t="s">
        <v>47</v>
      </c>
      <c r="D78" s="1" t="s">
        <v>64</v>
      </c>
      <c r="E78" s="1" t="s">
        <v>56</v>
      </c>
      <c r="F78" s="1" t="s">
        <v>19</v>
      </c>
      <c r="G78" s="1" t="s">
        <v>20</v>
      </c>
      <c r="H78" s="1" t="s">
        <v>105</v>
      </c>
      <c r="I78" s="1" t="s">
        <v>22</v>
      </c>
      <c r="J78" s="1" t="s">
        <v>35</v>
      </c>
      <c r="K78" s="1" t="s">
        <v>36</v>
      </c>
      <c r="L78" s="1" t="s">
        <v>25</v>
      </c>
      <c r="M78" s="1" t="s">
        <v>36</v>
      </c>
      <c r="N78" s="1" t="s">
        <v>57</v>
      </c>
    </row>
    <row r="79" spans="1:14" x14ac:dyDescent="0.3">
      <c r="A79" s="1" t="s">
        <v>348</v>
      </c>
      <c r="B79" s="1" t="s">
        <v>349</v>
      </c>
      <c r="C79" s="1" t="s">
        <v>350</v>
      </c>
      <c r="D79" s="1" t="s">
        <v>48</v>
      </c>
      <c r="E79" s="1" t="s">
        <v>270</v>
      </c>
      <c r="F79" s="1" t="s">
        <v>32</v>
      </c>
      <c r="G79" s="1" t="s">
        <v>20</v>
      </c>
      <c r="H79" s="1" t="s">
        <v>33</v>
      </c>
      <c r="I79" s="1" t="s">
        <v>22</v>
      </c>
      <c r="J79" s="1" t="s">
        <v>35</v>
      </c>
      <c r="K79" s="1" t="s">
        <v>24</v>
      </c>
      <c r="L79" s="1" t="s">
        <v>72</v>
      </c>
      <c r="M79" s="1" t="s">
        <v>36</v>
      </c>
      <c r="N79" s="1" t="s">
        <v>167</v>
      </c>
    </row>
    <row r="80" spans="1:14" x14ac:dyDescent="0.3">
      <c r="A80" s="1" t="s">
        <v>351</v>
      </c>
      <c r="B80" s="1" t="s">
        <v>296</v>
      </c>
      <c r="C80" s="1" t="s">
        <v>29</v>
      </c>
      <c r="D80" s="1" t="s">
        <v>352</v>
      </c>
      <c r="E80" s="1" t="s">
        <v>353</v>
      </c>
      <c r="F80" s="1" t="s">
        <v>32</v>
      </c>
      <c r="G80" s="1" t="s">
        <v>20</v>
      </c>
      <c r="H80" s="1" t="s">
        <v>33</v>
      </c>
      <c r="I80" s="1" t="s">
        <v>34</v>
      </c>
      <c r="J80" s="1" t="s">
        <v>35</v>
      </c>
      <c r="K80" s="1" t="s">
        <v>36</v>
      </c>
      <c r="L80" s="1" t="s">
        <v>25</v>
      </c>
      <c r="M80" s="1" t="s">
        <v>36</v>
      </c>
      <c r="N80" s="1" t="s">
        <v>38</v>
      </c>
    </row>
    <row r="81" spans="1:14" x14ac:dyDescent="0.3">
      <c r="A81" s="1" t="s">
        <v>354</v>
      </c>
      <c r="B81" s="1" t="s">
        <v>355</v>
      </c>
      <c r="C81" s="1" t="s">
        <v>47</v>
      </c>
      <c r="D81" s="1" t="s">
        <v>356</v>
      </c>
      <c r="E81" s="1" t="s">
        <v>251</v>
      </c>
      <c r="F81" s="1" t="s">
        <v>32</v>
      </c>
      <c r="G81" s="1" t="s">
        <v>20</v>
      </c>
      <c r="H81" s="1" t="s">
        <v>43</v>
      </c>
      <c r="I81" s="1" t="s">
        <v>34</v>
      </c>
      <c r="J81" s="1" t="s">
        <v>50</v>
      </c>
      <c r="K81" s="1" t="s">
        <v>24</v>
      </c>
      <c r="L81" s="1" t="s">
        <v>25</v>
      </c>
      <c r="M81" s="1" t="s">
        <v>36</v>
      </c>
      <c r="N81" s="1" t="s">
        <v>51</v>
      </c>
    </row>
    <row r="82" spans="1:14" x14ac:dyDescent="0.3">
      <c r="A82" s="1" t="s">
        <v>357</v>
      </c>
      <c r="B82" s="1" t="s">
        <v>358</v>
      </c>
      <c r="C82" s="1" t="s">
        <v>29</v>
      </c>
      <c r="D82" s="1" t="s">
        <v>70</v>
      </c>
      <c r="E82" s="1" t="s">
        <v>359</v>
      </c>
      <c r="F82" s="1" t="s">
        <v>32</v>
      </c>
      <c r="G82" s="1" t="s">
        <v>20</v>
      </c>
      <c r="H82" s="1" t="s">
        <v>33</v>
      </c>
      <c r="I82" s="1" t="s">
        <v>34</v>
      </c>
      <c r="J82" s="1" t="s">
        <v>35</v>
      </c>
      <c r="K82" s="1" t="s">
        <v>36</v>
      </c>
      <c r="L82" s="1" t="s">
        <v>25</v>
      </c>
      <c r="M82" s="1" t="s">
        <v>36</v>
      </c>
      <c r="N82" s="1" t="s">
        <v>38</v>
      </c>
    </row>
    <row r="83" spans="1:14" x14ac:dyDescent="0.3">
      <c r="A83" s="1" t="s">
        <v>360</v>
      </c>
      <c r="B83" s="1" t="s">
        <v>361</v>
      </c>
      <c r="C83" s="1" t="s">
        <v>115</v>
      </c>
      <c r="D83" s="1" t="s">
        <v>362</v>
      </c>
      <c r="E83" s="1" t="s">
        <v>330</v>
      </c>
      <c r="F83" s="1" t="s">
        <v>32</v>
      </c>
      <c r="G83" s="1" t="s">
        <v>20</v>
      </c>
      <c r="H83" s="1" t="s">
        <v>322</v>
      </c>
      <c r="I83" s="1" t="s">
        <v>34</v>
      </c>
      <c r="J83" s="1" t="s">
        <v>35</v>
      </c>
      <c r="K83" s="1" t="s">
        <v>24</v>
      </c>
      <c r="L83" s="1" t="s">
        <v>154</v>
      </c>
      <c r="M83" s="1" t="s">
        <v>36</v>
      </c>
      <c r="N83" s="1" t="s">
        <v>363</v>
      </c>
    </row>
    <row r="84" spans="1:14" x14ac:dyDescent="0.3">
      <c r="A84" s="1" t="s">
        <v>364</v>
      </c>
      <c r="B84" s="1" t="s">
        <v>365</v>
      </c>
      <c r="C84" s="1" t="s">
        <v>366</v>
      </c>
      <c r="D84" s="1" t="s">
        <v>70</v>
      </c>
      <c r="E84" s="1" t="s">
        <v>56</v>
      </c>
      <c r="F84" s="1" t="s">
        <v>32</v>
      </c>
      <c r="G84" s="1" t="s">
        <v>20</v>
      </c>
      <c r="H84" s="1" t="s">
        <v>21</v>
      </c>
      <c r="I84" s="1" t="s">
        <v>22</v>
      </c>
      <c r="J84" s="1" t="s">
        <v>35</v>
      </c>
      <c r="K84" s="1" t="s">
        <v>36</v>
      </c>
      <c r="L84" s="1" t="s">
        <v>25</v>
      </c>
      <c r="M84" s="1" t="s">
        <v>36</v>
      </c>
      <c r="N84" s="1" t="s">
        <v>367</v>
      </c>
    </row>
    <row r="85" spans="1:14" x14ac:dyDescent="0.3">
      <c r="A85" s="1" t="s">
        <v>368</v>
      </c>
      <c r="B85" s="1" t="s">
        <v>369</v>
      </c>
      <c r="C85" s="1" t="s">
        <v>16</v>
      </c>
      <c r="D85" s="1" t="s">
        <v>146</v>
      </c>
      <c r="E85" s="1" t="s">
        <v>206</v>
      </c>
      <c r="F85" s="1" t="s">
        <v>32</v>
      </c>
      <c r="G85" s="1" t="s">
        <v>20</v>
      </c>
      <c r="H85" s="1" t="s">
        <v>43</v>
      </c>
      <c r="I85" s="1" t="s">
        <v>22</v>
      </c>
      <c r="J85" s="1" t="s">
        <v>35</v>
      </c>
      <c r="K85" s="1" t="s">
        <v>24</v>
      </c>
      <c r="L85" s="1" t="s">
        <v>72</v>
      </c>
      <c r="M85" s="1" t="s">
        <v>36</v>
      </c>
      <c r="N85" s="1" t="s">
        <v>73</v>
      </c>
    </row>
    <row r="86" spans="1:14" x14ac:dyDescent="0.3">
      <c r="A86" s="1" t="s">
        <v>370</v>
      </c>
      <c r="B86" s="1" t="s">
        <v>371</v>
      </c>
      <c r="C86" s="1" t="s">
        <v>372</v>
      </c>
      <c r="D86" s="1" t="s">
        <v>373</v>
      </c>
      <c r="E86" s="1" t="s">
        <v>374</v>
      </c>
      <c r="F86" s="1" t="s">
        <v>32</v>
      </c>
      <c r="G86" s="1" t="s">
        <v>20</v>
      </c>
      <c r="H86" s="1" t="s">
        <v>43</v>
      </c>
      <c r="I86" s="1" t="s">
        <v>34</v>
      </c>
      <c r="J86" s="1" t="s">
        <v>50</v>
      </c>
      <c r="K86" s="1" t="s">
        <v>36</v>
      </c>
      <c r="L86" s="1" t="s">
        <v>25</v>
      </c>
      <c r="M86" s="1" t="s">
        <v>36</v>
      </c>
      <c r="N86" s="1" t="s">
        <v>375</v>
      </c>
    </row>
    <row r="87" spans="1:14" x14ac:dyDescent="0.3">
      <c r="A87" s="1" t="s">
        <v>376</v>
      </c>
      <c r="B87" s="1" t="s">
        <v>377</v>
      </c>
      <c r="C87" s="1" t="s">
        <v>178</v>
      </c>
      <c r="D87" s="1" t="s">
        <v>362</v>
      </c>
      <c r="E87" s="1" t="s">
        <v>378</v>
      </c>
      <c r="F87" s="1" t="s">
        <v>32</v>
      </c>
      <c r="G87" s="1" t="s">
        <v>20</v>
      </c>
      <c r="H87" s="1" t="s">
        <v>21</v>
      </c>
      <c r="I87" s="1" t="s">
        <v>22</v>
      </c>
      <c r="J87" s="1" t="s">
        <v>379</v>
      </c>
      <c r="K87" s="1" t="s">
        <v>36</v>
      </c>
      <c r="L87" s="1" t="s">
        <v>25</v>
      </c>
      <c r="M87" s="1" t="s">
        <v>36</v>
      </c>
      <c r="N87" s="1" t="s">
        <v>380</v>
      </c>
    </row>
    <row r="88" spans="1:14" x14ac:dyDescent="0.3">
      <c r="A88" s="1" t="s">
        <v>381</v>
      </c>
      <c r="B88" s="1" t="s">
        <v>382</v>
      </c>
      <c r="C88" s="1" t="s">
        <v>115</v>
      </c>
      <c r="D88" s="1" t="s">
        <v>47</v>
      </c>
      <c r="E88" s="1" t="s">
        <v>42</v>
      </c>
      <c r="F88" s="1" t="s">
        <v>32</v>
      </c>
      <c r="G88" s="1" t="s">
        <v>20</v>
      </c>
      <c r="H88" s="1" t="s">
        <v>383</v>
      </c>
      <c r="I88" s="1" t="s">
        <v>22</v>
      </c>
      <c r="J88" s="1" t="s">
        <v>35</v>
      </c>
      <c r="K88" s="1" t="s">
        <v>24</v>
      </c>
      <c r="L88" s="1" t="s">
        <v>72</v>
      </c>
      <c r="M88" s="1" t="s">
        <v>36</v>
      </c>
      <c r="N88" s="1" t="s">
        <v>384</v>
      </c>
    </row>
    <row r="89" spans="1:14" x14ac:dyDescent="0.3">
      <c r="A89" s="1" t="s">
        <v>385</v>
      </c>
      <c r="B89" s="1" t="s">
        <v>386</v>
      </c>
      <c r="C89" s="1" t="s">
        <v>16</v>
      </c>
      <c r="D89" s="1" t="s">
        <v>387</v>
      </c>
      <c r="E89" s="1" t="s">
        <v>187</v>
      </c>
      <c r="F89" s="1" t="s">
        <v>32</v>
      </c>
      <c r="G89" s="1" t="s">
        <v>20</v>
      </c>
      <c r="H89" s="1" t="s">
        <v>243</v>
      </c>
      <c r="I89" s="1" t="s">
        <v>34</v>
      </c>
      <c r="J89" s="1" t="s">
        <v>35</v>
      </c>
      <c r="K89" s="1" t="s">
        <v>36</v>
      </c>
      <c r="L89" s="1" t="s">
        <v>25</v>
      </c>
      <c r="M89" s="1" t="s">
        <v>36</v>
      </c>
      <c r="N89" s="1" t="s">
        <v>294</v>
      </c>
    </row>
    <row r="90" spans="1:14" x14ac:dyDescent="0.3">
      <c r="A90" s="1" t="s">
        <v>388</v>
      </c>
      <c r="B90" s="1" t="s">
        <v>389</v>
      </c>
      <c r="C90" s="1" t="s">
        <v>16</v>
      </c>
      <c r="D90" s="1" t="s">
        <v>55</v>
      </c>
      <c r="E90" s="1" t="s">
        <v>77</v>
      </c>
      <c r="F90" s="1" t="s">
        <v>32</v>
      </c>
      <c r="G90" s="1" t="s">
        <v>20</v>
      </c>
      <c r="H90" s="1" t="s">
        <v>43</v>
      </c>
      <c r="I90" s="1" t="s">
        <v>34</v>
      </c>
      <c r="J90" s="1" t="s">
        <v>35</v>
      </c>
      <c r="K90" s="1" t="s">
        <v>36</v>
      </c>
      <c r="L90" s="1" t="s">
        <v>78</v>
      </c>
      <c r="M90" s="1" t="s">
        <v>36</v>
      </c>
      <c r="N90" s="1" t="s">
        <v>390</v>
      </c>
    </row>
    <row r="91" spans="1:14" x14ac:dyDescent="0.3">
      <c r="A91" s="1" t="s">
        <v>391</v>
      </c>
      <c r="B91" s="1" t="s">
        <v>392</v>
      </c>
      <c r="C91" s="1" t="s">
        <v>84</v>
      </c>
      <c r="D91" s="1" t="s">
        <v>393</v>
      </c>
      <c r="E91" s="1" t="s">
        <v>394</v>
      </c>
      <c r="F91" s="1" t="s">
        <v>19</v>
      </c>
      <c r="G91" s="1" t="s">
        <v>20</v>
      </c>
      <c r="H91" s="1" t="s">
        <v>43</v>
      </c>
      <c r="I91" s="1" t="s">
        <v>22</v>
      </c>
      <c r="J91" s="1" t="s">
        <v>35</v>
      </c>
      <c r="K91" s="1" t="s">
        <v>24</v>
      </c>
      <c r="L91" s="1" t="s">
        <v>72</v>
      </c>
      <c r="M91" s="1" t="s">
        <v>24</v>
      </c>
      <c r="N91" s="1" t="s">
        <v>395</v>
      </c>
    </row>
    <row r="92" spans="1:14" x14ac:dyDescent="0.3">
      <c r="A92" s="1" t="s">
        <v>396</v>
      </c>
      <c r="B92" s="1" t="s">
        <v>397</v>
      </c>
      <c r="C92" s="1" t="s">
        <v>29</v>
      </c>
      <c r="D92" s="1" t="s">
        <v>64</v>
      </c>
      <c r="E92" s="1" t="s">
        <v>60</v>
      </c>
      <c r="F92" s="1" t="s">
        <v>32</v>
      </c>
      <c r="G92" s="1" t="s">
        <v>20</v>
      </c>
      <c r="H92" s="1" t="s">
        <v>33</v>
      </c>
      <c r="I92" s="1" t="s">
        <v>34</v>
      </c>
      <c r="J92" s="1" t="s">
        <v>35</v>
      </c>
      <c r="K92" s="1" t="s">
        <v>36</v>
      </c>
      <c r="L92" s="1" t="s">
        <v>25</v>
      </c>
      <c r="M92" s="1" t="s">
        <v>36</v>
      </c>
      <c r="N92" s="1" t="s">
        <v>38</v>
      </c>
    </row>
    <row r="93" spans="1:14" x14ac:dyDescent="0.3">
      <c r="A93" s="1" t="s">
        <v>398</v>
      </c>
      <c r="B93" s="1" t="s">
        <v>399</v>
      </c>
      <c r="C93" s="1" t="s">
        <v>400</v>
      </c>
      <c r="D93" s="1" t="s">
        <v>76</v>
      </c>
      <c r="E93" s="1" t="s">
        <v>97</v>
      </c>
      <c r="F93" s="1" t="s">
        <v>32</v>
      </c>
      <c r="G93" s="1" t="s">
        <v>20</v>
      </c>
      <c r="H93" s="1" t="s">
        <v>33</v>
      </c>
      <c r="I93" s="1" t="s">
        <v>22</v>
      </c>
      <c r="J93" s="1" t="s">
        <v>23</v>
      </c>
      <c r="K93" s="1" t="s">
        <v>36</v>
      </c>
      <c r="L93" s="1" t="s">
        <v>72</v>
      </c>
      <c r="M93" s="1" t="s">
        <v>36</v>
      </c>
      <c r="N93" s="1" t="s">
        <v>38</v>
      </c>
    </row>
    <row r="94" spans="1:14" x14ac:dyDescent="0.3">
      <c r="A94" s="1" t="s">
        <v>401</v>
      </c>
      <c r="B94" s="1" t="s">
        <v>402</v>
      </c>
      <c r="C94" s="1" t="s">
        <v>84</v>
      </c>
      <c r="D94" s="1" t="s">
        <v>235</v>
      </c>
      <c r="E94" s="1" t="s">
        <v>403</v>
      </c>
      <c r="F94" s="1" t="s">
        <v>19</v>
      </c>
      <c r="G94" s="1" t="s">
        <v>20</v>
      </c>
      <c r="H94" s="1" t="s">
        <v>33</v>
      </c>
      <c r="I94" s="1" t="s">
        <v>211</v>
      </c>
      <c r="J94" s="1" t="s">
        <v>404</v>
      </c>
      <c r="K94" s="1" t="s">
        <v>36</v>
      </c>
      <c r="L94" s="1" t="s">
        <v>78</v>
      </c>
      <c r="M94" s="1" t="s">
        <v>36</v>
      </c>
      <c r="N94" s="1" t="s">
        <v>213</v>
      </c>
    </row>
    <row r="95" spans="1:14" x14ac:dyDescent="0.3">
      <c r="A95" s="1" t="s">
        <v>405</v>
      </c>
      <c r="B95" s="1" t="s">
        <v>406</v>
      </c>
      <c r="C95" s="1" t="s">
        <v>29</v>
      </c>
      <c r="D95" s="1" t="s">
        <v>407</v>
      </c>
      <c r="E95" s="1" t="s">
        <v>175</v>
      </c>
      <c r="F95" s="1" t="s">
        <v>32</v>
      </c>
      <c r="G95" s="1" t="s">
        <v>20</v>
      </c>
      <c r="H95" s="1" t="s">
        <v>66</v>
      </c>
      <c r="I95" s="1" t="s">
        <v>34</v>
      </c>
      <c r="J95" s="1" t="s">
        <v>35</v>
      </c>
      <c r="K95" s="1" t="s">
        <v>36</v>
      </c>
      <c r="L95" s="1" t="s">
        <v>25</v>
      </c>
      <c r="M95" s="1" t="s">
        <v>36</v>
      </c>
      <c r="N95" s="1" t="s">
        <v>38</v>
      </c>
    </row>
    <row r="96" spans="1:14" x14ac:dyDescent="0.3">
      <c r="A96" s="1" t="s">
        <v>408</v>
      </c>
      <c r="B96" s="1" t="s">
        <v>409</v>
      </c>
      <c r="C96" s="1" t="s">
        <v>16</v>
      </c>
      <c r="D96" s="1" t="s">
        <v>410</v>
      </c>
      <c r="E96" s="1" t="s">
        <v>153</v>
      </c>
      <c r="F96" s="1" t="s">
        <v>32</v>
      </c>
      <c r="G96" s="1" t="s">
        <v>20</v>
      </c>
      <c r="H96" s="1" t="s">
        <v>98</v>
      </c>
      <c r="I96" s="1" t="s">
        <v>34</v>
      </c>
      <c r="J96" s="1" t="s">
        <v>35</v>
      </c>
      <c r="K96" s="1" t="s">
        <v>36</v>
      </c>
      <c r="L96" s="1" t="s">
        <v>411</v>
      </c>
      <c r="M96" s="1" t="s">
        <v>36</v>
      </c>
      <c r="N96" s="1" t="s">
        <v>412</v>
      </c>
    </row>
    <row r="97" spans="1:14" x14ac:dyDescent="0.3">
      <c r="A97" s="1" t="s">
        <v>413</v>
      </c>
      <c r="B97" s="1" t="s">
        <v>414</v>
      </c>
      <c r="C97" s="1" t="s">
        <v>415</v>
      </c>
      <c r="D97" s="1" t="s">
        <v>416</v>
      </c>
      <c r="E97" s="1" t="s">
        <v>56</v>
      </c>
      <c r="F97" s="1" t="s">
        <v>19</v>
      </c>
      <c r="G97" s="1" t="s">
        <v>20</v>
      </c>
      <c r="H97" s="1" t="s">
        <v>66</v>
      </c>
      <c r="I97" s="1" t="s">
        <v>22</v>
      </c>
      <c r="J97" s="1" t="s">
        <v>50</v>
      </c>
      <c r="K97" s="1" t="s">
        <v>36</v>
      </c>
      <c r="L97" s="1" t="s">
        <v>72</v>
      </c>
      <c r="M97" s="1" t="s">
        <v>36</v>
      </c>
      <c r="N97" s="1" t="s">
        <v>79</v>
      </c>
    </row>
    <row r="98" spans="1:14" x14ac:dyDescent="0.3">
      <c r="A98" s="1" t="s">
        <v>417</v>
      </c>
      <c r="B98" s="1" t="s">
        <v>418</v>
      </c>
      <c r="C98" s="1" t="s">
        <v>47</v>
      </c>
      <c r="D98" s="1" t="s">
        <v>419</v>
      </c>
      <c r="E98" s="1" t="s">
        <v>85</v>
      </c>
      <c r="F98" s="1" t="s">
        <v>32</v>
      </c>
      <c r="G98" s="1" t="s">
        <v>20</v>
      </c>
      <c r="H98" s="1" t="s">
        <v>105</v>
      </c>
      <c r="I98" s="1" t="s">
        <v>22</v>
      </c>
      <c r="J98" s="1" t="s">
        <v>23</v>
      </c>
      <c r="K98" s="1" t="s">
        <v>36</v>
      </c>
      <c r="L98" s="1" t="s">
        <v>179</v>
      </c>
      <c r="M98" s="1" t="s">
        <v>36</v>
      </c>
      <c r="N98" s="1" t="s">
        <v>257</v>
      </c>
    </row>
    <row r="99" spans="1:14" x14ac:dyDescent="0.3">
      <c r="A99" s="1" t="s">
        <v>420</v>
      </c>
      <c r="B99" s="1" t="s">
        <v>421</v>
      </c>
      <c r="C99" s="1" t="s">
        <v>422</v>
      </c>
      <c r="D99" s="1" t="s">
        <v>152</v>
      </c>
      <c r="E99" s="1" t="s">
        <v>206</v>
      </c>
      <c r="F99" s="1" t="s">
        <v>32</v>
      </c>
      <c r="G99" s="1" t="s">
        <v>20</v>
      </c>
      <c r="H99" s="1" t="s">
        <v>33</v>
      </c>
      <c r="I99" s="1" t="s">
        <v>34</v>
      </c>
      <c r="J99" s="1" t="s">
        <v>35</v>
      </c>
      <c r="K99" s="1" t="s">
        <v>36</v>
      </c>
      <c r="L99" s="1" t="s">
        <v>25</v>
      </c>
      <c r="M99" s="1" t="s">
        <v>36</v>
      </c>
      <c r="N99" s="1" t="s">
        <v>38</v>
      </c>
    </row>
    <row r="100" spans="1:14" x14ac:dyDescent="0.3">
      <c r="A100" s="1" t="s">
        <v>423</v>
      </c>
      <c r="B100" s="1" t="s">
        <v>424</v>
      </c>
      <c r="C100" s="1" t="s">
        <v>84</v>
      </c>
      <c r="D100" s="1" t="s">
        <v>425</v>
      </c>
      <c r="E100" s="1" t="s">
        <v>426</v>
      </c>
      <c r="F100" s="1" t="s">
        <v>19</v>
      </c>
      <c r="G100" s="1" t="s">
        <v>20</v>
      </c>
      <c r="H100" s="1" t="s">
        <v>33</v>
      </c>
      <c r="I100" s="1" t="s">
        <v>34</v>
      </c>
      <c r="J100" s="1" t="s">
        <v>50</v>
      </c>
      <c r="K100" s="1" t="s">
        <v>36</v>
      </c>
      <c r="L100" s="1" t="s">
        <v>25</v>
      </c>
      <c r="M100" s="1" t="s">
        <v>36</v>
      </c>
      <c r="N100" s="1" t="s">
        <v>427</v>
      </c>
    </row>
    <row r="101" spans="1:14" x14ac:dyDescent="0.3">
      <c r="A101" s="1" t="s">
        <v>428</v>
      </c>
      <c r="B101" s="1" t="s">
        <v>429</v>
      </c>
      <c r="C101" s="1" t="s">
        <v>16</v>
      </c>
      <c r="D101" s="1" t="s">
        <v>64</v>
      </c>
      <c r="E101" s="1" t="s">
        <v>65</v>
      </c>
      <c r="F101" s="1" t="s">
        <v>32</v>
      </c>
      <c r="G101" s="1" t="s">
        <v>20</v>
      </c>
      <c r="H101" s="1" t="s">
        <v>91</v>
      </c>
      <c r="I101" s="1" t="s">
        <v>22</v>
      </c>
      <c r="J101" s="1" t="s">
        <v>35</v>
      </c>
      <c r="K101" s="1" t="s">
        <v>36</v>
      </c>
      <c r="L101" s="1" t="s">
        <v>25</v>
      </c>
      <c r="M101" s="1" t="s">
        <v>36</v>
      </c>
      <c r="N101" s="1" t="s">
        <v>430</v>
      </c>
    </row>
    <row r="102" spans="1:14" x14ac:dyDescent="0.3">
      <c r="A102" s="1" t="s">
        <v>431</v>
      </c>
      <c r="B102" s="1" t="s">
        <v>432</v>
      </c>
      <c r="C102" s="1" t="s">
        <v>54</v>
      </c>
      <c r="D102" s="1" t="s">
        <v>55</v>
      </c>
      <c r="E102" s="1" t="s">
        <v>56</v>
      </c>
      <c r="F102" s="1" t="s">
        <v>19</v>
      </c>
      <c r="G102" s="1" t="s">
        <v>20</v>
      </c>
      <c r="H102" s="1" t="s">
        <v>33</v>
      </c>
      <c r="I102" s="1" t="s">
        <v>211</v>
      </c>
      <c r="J102" s="1" t="s">
        <v>50</v>
      </c>
      <c r="K102" s="1" t="s">
        <v>36</v>
      </c>
      <c r="L102" s="1" t="s">
        <v>25</v>
      </c>
      <c r="M102" s="1" t="s">
        <v>36</v>
      </c>
      <c r="N102" s="1" t="s">
        <v>300</v>
      </c>
    </row>
    <row r="103" spans="1:14" x14ac:dyDescent="0.3">
      <c r="A103" s="1" t="s">
        <v>433</v>
      </c>
      <c r="B103" s="1" t="s">
        <v>434</v>
      </c>
      <c r="C103" s="1" t="s">
        <v>435</v>
      </c>
      <c r="D103" s="1" t="s">
        <v>48</v>
      </c>
      <c r="E103" s="1" t="s">
        <v>187</v>
      </c>
      <c r="F103" s="1" t="s">
        <v>19</v>
      </c>
      <c r="G103" s="1" t="s">
        <v>20</v>
      </c>
      <c r="H103" s="1" t="s">
        <v>43</v>
      </c>
      <c r="I103" s="1" t="s">
        <v>22</v>
      </c>
      <c r="J103" s="1" t="s">
        <v>35</v>
      </c>
      <c r="K103" s="1" t="s">
        <v>36</v>
      </c>
      <c r="L103" s="1" t="s">
        <v>25</v>
      </c>
      <c r="M103" s="1" t="s">
        <v>36</v>
      </c>
      <c r="N103" s="1" t="s">
        <v>38</v>
      </c>
    </row>
    <row r="104" spans="1:14" x14ac:dyDescent="0.3">
      <c r="A104" s="1" t="s">
        <v>436</v>
      </c>
      <c r="B104" s="1" t="s">
        <v>437</v>
      </c>
      <c r="C104" s="1" t="s">
        <v>47</v>
      </c>
      <c r="D104" s="1" t="s">
        <v>139</v>
      </c>
      <c r="E104" s="1" t="s">
        <v>134</v>
      </c>
      <c r="F104" s="1" t="s">
        <v>32</v>
      </c>
      <c r="G104" s="1" t="s">
        <v>20</v>
      </c>
      <c r="H104" s="1" t="s">
        <v>66</v>
      </c>
      <c r="I104" s="1" t="s">
        <v>211</v>
      </c>
      <c r="J104" s="1" t="s">
        <v>50</v>
      </c>
      <c r="K104" s="1" t="s">
        <v>24</v>
      </c>
      <c r="L104" s="1" t="s">
        <v>72</v>
      </c>
      <c r="M104" s="1" t="s">
        <v>36</v>
      </c>
      <c r="N104" s="1" t="s">
        <v>87</v>
      </c>
    </row>
    <row r="105" spans="1:14" x14ac:dyDescent="0.3">
      <c r="A105" s="1" t="s">
        <v>438</v>
      </c>
      <c r="B105" s="1" t="s">
        <v>439</v>
      </c>
      <c r="C105" s="1" t="s">
        <v>29</v>
      </c>
      <c r="D105" s="1" t="s">
        <v>116</v>
      </c>
      <c r="E105" s="1" t="s">
        <v>31</v>
      </c>
      <c r="F105" s="1" t="s">
        <v>32</v>
      </c>
      <c r="G105" s="1" t="s">
        <v>20</v>
      </c>
      <c r="H105" s="1" t="s">
        <v>33</v>
      </c>
      <c r="I105" s="1" t="s">
        <v>34</v>
      </c>
      <c r="J105" s="1" t="s">
        <v>23</v>
      </c>
      <c r="K105" s="1" t="s">
        <v>36</v>
      </c>
      <c r="L105" s="1" t="s">
        <v>25</v>
      </c>
      <c r="M105" s="1" t="s">
        <v>36</v>
      </c>
      <c r="N105" s="1" t="s">
        <v>440</v>
      </c>
    </row>
    <row r="106" spans="1:14" x14ac:dyDescent="0.3">
      <c r="A106" s="1" t="s">
        <v>441</v>
      </c>
      <c r="B106" s="1" t="s">
        <v>442</v>
      </c>
      <c r="C106" s="1" t="s">
        <v>443</v>
      </c>
      <c r="D106" s="1" t="s">
        <v>444</v>
      </c>
      <c r="E106" s="1" t="s">
        <v>445</v>
      </c>
      <c r="F106" s="1" t="s">
        <v>32</v>
      </c>
      <c r="G106" s="1" t="s">
        <v>20</v>
      </c>
      <c r="H106" s="1" t="s">
        <v>21</v>
      </c>
      <c r="I106" s="1" t="s">
        <v>22</v>
      </c>
      <c r="J106" s="1" t="s">
        <v>23</v>
      </c>
      <c r="K106" s="1" t="s">
        <v>24</v>
      </c>
      <c r="L106" s="1" t="s">
        <v>25</v>
      </c>
      <c r="M106" s="1" t="s">
        <v>36</v>
      </c>
      <c r="N106" s="1" t="s">
        <v>446</v>
      </c>
    </row>
    <row r="107" spans="1:14" x14ac:dyDescent="0.3">
      <c r="A107" s="1" t="s">
        <v>447</v>
      </c>
      <c r="B107" s="1" t="s">
        <v>448</v>
      </c>
      <c r="C107" s="1" t="s">
        <v>25</v>
      </c>
      <c r="D107" s="1" t="s">
        <v>25</v>
      </c>
      <c r="E107" s="1" t="s">
        <v>25</v>
      </c>
      <c r="F107" s="1" t="s">
        <v>25</v>
      </c>
      <c r="G107" s="1" t="s">
        <v>25</v>
      </c>
      <c r="H107" s="1" t="s">
        <v>66</v>
      </c>
      <c r="I107" s="1" t="s">
        <v>34</v>
      </c>
      <c r="J107" s="1" t="s">
        <v>35</v>
      </c>
      <c r="K107" s="1" t="s">
        <v>36</v>
      </c>
      <c r="L107" s="1" t="s">
        <v>449</v>
      </c>
      <c r="M107" s="1" t="s">
        <v>450</v>
      </c>
      <c r="N107" s="1" t="s">
        <v>167</v>
      </c>
    </row>
    <row r="108" spans="1:14" x14ac:dyDescent="0.3">
      <c r="A108" s="1" t="s">
        <v>451</v>
      </c>
      <c r="B108" s="1" t="s">
        <v>452</v>
      </c>
      <c r="C108" s="1" t="s">
        <v>178</v>
      </c>
      <c r="D108" s="1" t="s">
        <v>84</v>
      </c>
      <c r="E108" s="1" t="s">
        <v>147</v>
      </c>
      <c r="F108" s="1" t="s">
        <v>32</v>
      </c>
      <c r="G108" s="1" t="s">
        <v>20</v>
      </c>
      <c r="H108" s="1" t="s">
        <v>43</v>
      </c>
      <c r="I108" s="1" t="s">
        <v>22</v>
      </c>
      <c r="J108" s="1" t="s">
        <v>326</v>
      </c>
      <c r="K108" s="1" t="s">
        <v>36</v>
      </c>
      <c r="L108" s="1" t="s">
        <v>72</v>
      </c>
      <c r="M108" s="1" t="s">
        <v>36</v>
      </c>
      <c r="N108" s="1" t="s">
        <v>73</v>
      </c>
    </row>
    <row r="109" spans="1:14" x14ac:dyDescent="0.3">
      <c r="A109" s="1" t="s">
        <v>453</v>
      </c>
      <c r="B109" s="1" t="s">
        <v>454</v>
      </c>
      <c r="C109" s="1" t="s">
        <v>84</v>
      </c>
      <c r="D109" s="1" t="s">
        <v>64</v>
      </c>
      <c r="E109" s="1" t="s">
        <v>455</v>
      </c>
      <c r="F109" s="1" t="s">
        <v>19</v>
      </c>
      <c r="G109" s="1" t="s">
        <v>20</v>
      </c>
      <c r="H109" s="1" t="s">
        <v>21</v>
      </c>
      <c r="I109" s="1" t="s">
        <v>22</v>
      </c>
      <c r="J109" s="1" t="s">
        <v>50</v>
      </c>
      <c r="K109" s="1" t="s">
        <v>24</v>
      </c>
      <c r="L109" s="1" t="s">
        <v>72</v>
      </c>
      <c r="M109" s="1" t="s">
        <v>36</v>
      </c>
      <c r="N109" s="1" t="s">
        <v>244</v>
      </c>
    </row>
    <row r="110" spans="1:14" x14ac:dyDescent="0.3">
      <c r="A110" s="1" t="s">
        <v>456</v>
      </c>
      <c r="B110" s="1" t="s">
        <v>457</v>
      </c>
      <c r="C110" s="1" t="s">
        <v>16</v>
      </c>
      <c r="D110" s="1" t="s">
        <v>458</v>
      </c>
      <c r="E110" s="1" t="s">
        <v>147</v>
      </c>
      <c r="F110" s="1" t="s">
        <v>32</v>
      </c>
      <c r="G110" s="1" t="s">
        <v>20</v>
      </c>
      <c r="H110" s="1" t="s">
        <v>43</v>
      </c>
      <c r="I110" s="1" t="s">
        <v>22</v>
      </c>
      <c r="J110" s="1" t="s">
        <v>23</v>
      </c>
      <c r="K110" s="1" t="s">
        <v>24</v>
      </c>
      <c r="L110" s="1" t="s">
        <v>25</v>
      </c>
      <c r="M110" s="1" t="s">
        <v>24</v>
      </c>
      <c r="N110" s="1" t="s">
        <v>459</v>
      </c>
    </row>
    <row r="111" spans="1:14" x14ac:dyDescent="0.3">
      <c r="A111" s="1" t="s">
        <v>460</v>
      </c>
      <c r="B111" s="1" t="s">
        <v>285</v>
      </c>
      <c r="C111" s="1" t="s">
        <v>461</v>
      </c>
      <c r="D111" s="1" t="s">
        <v>462</v>
      </c>
      <c r="E111" s="1" t="s">
        <v>49</v>
      </c>
      <c r="F111" s="1" t="s">
        <v>19</v>
      </c>
      <c r="G111" s="1" t="s">
        <v>20</v>
      </c>
      <c r="H111" s="1" t="s">
        <v>66</v>
      </c>
      <c r="I111" s="1" t="s">
        <v>34</v>
      </c>
      <c r="J111" s="1" t="s">
        <v>35</v>
      </c>
      <c r="K111" s="1" t="s">
        <v>36</v>
      </c>
      <c r="L111" s="1" t="s">
        <v>25</v>
      </c>
      <c r="M111" s="1" t="s">
        <v>36</v>
      </c>
      <c r="N111" s="1" t="s">
        <v>238</v>
      </c>
    </row>
    <row r="112" spans="1:14" x14ac:dyDescent="0.3">
      <c r="A112" s="1" t="s">
        <v>463</v>
      </c>
      <c r="B112" s="1" t="s">
        <v>464</v>
      </c>
      <c r="C112" s="1" t="s">
        <v>47</v>
      </c>
      <c r="D112" s="1" t="s">
        <v>30</v>
      </c>
      <c r="E112" s="1" t="s">
        <v>97</v>
      </c>
      <c r="F112" s="1" t="s">
        <v>32</v>
      </c>
      <c r="G112" s="1" t="s">
        <v>20</v>
      </c>
      <c r="H112" s="1" t="s">
        <v>33</v>
      </c>
      <c r="I112" s="1" t="s">
        <v>22</v>
      </c>
      <c r="J112" s="1" t="s">
        <v>50</v>
      </c>
      <c r="K112" s="1" t="s">
        <v>24</v>
      </c>
      <c r="L112" s="1" t="s">
        <v>72</v>
      </c>
      <c r="M112" s="1" t="s">
        <v>36</v>
      </c>
      <c r="N112" s="1" t="s">
        <v>465</v>
      </c>
    </row>
    <row r="113" spans="1:14" x14ac:dyDescent="0.3">
      <c r="A113" s="1" t="s">
        <v>466</v>
      </c>
      <c r="B113" s="1" t="s">
        <v>467</v>
      </c>
      <c r="C113" s="1" t="s">
        <v>29</v>
      </c>
      <c r="D113" s="1" t="s">
        <v>30</v>
      </c>
      <c r="E113" s="1" t="s">
        <v>31</v>
      </c>
      <c r="F113" s="1" t="s">
        <v>32</v>
      </c>
      <c r="G113" s="1" t="s">
        <v>20</v>
      </c>
      <c r="H113" s="1" t="s">
        <v>43</v>
      </c>
      <c r="I113" s="1" t="s">
        <v>22</v>
      </c>
      <c r="J113" s="1" t="s">
        <v>35</v>
      </c>
      <c r="K113" s="1" t="s">
        <v>36</v>
      </c>
      <c r="L113" s="1" t="s">
        <v>411</v>
      </c>
      <c r="M113" s="1" t="s">
        <v>468</v>
      </c>
      <c r="N113" s="1" t="s">
        <v>340</v>
      </c>
    </row>
    <row r="114" spans="1:14" x14ac:dyDescent="0.3">
      <c r="A114" s="1" t="s">
        <v>469</v>
      </c>
      <c r="B114" s="1" t="s">
        <v>470</v>
      </c>
      <c r="C114" s="1" t="s">
        <v>25</v>
      </c>
      <c r="D114" s="1" t="s">
        <v>25</v>
      </c>
      <c r="E114" s="1" t="s">
        <v>25</v>
      </c>
      <c r="F114" s="1" t="s">
        <v>25</v>
      </c>
      <c r="G114" s="1" t="s">
        <v>25</v>
      </c>
      <c r="H114" s="1" t="s">
        <v>33</v>
      </c>
      <c r="I114" s="1" t="s">
        <v>22</v>
      </c>
      <c r="J114" s="1" t="s">
        <v>35</v>
      </c>
      <c r="K114" s="1" t="s">
        <v>36</v>
      </c>
      <c r="L114" s="1" t="s">
        <v>449</v>
      </c>
      <c r="M114" s="1" t="s">
        <v>36</v>
      </c>
      <c r="N114" s="1" t="s">
        <v>38</v>
      </c>
    </row>
    <row r="115" spans="1:14" x14ac:dyDescent="0.3">
      <c r="A115" s="1" t="s">
        <v>471</v>
      </c>
      <c r="B115" s="1" t="s">
        <v>472</v>
      </c>
      <c r="C115" s="1" t="s">
        <v>473</v>
      </c>
      <c r="D115" s="1" t="s">
        <v>362</v>
      </c>
      <c r="E115" s="1" t="s">
        <v>445</v>
      </c>
      <c r="F115" s="1" t="s">
        <v>32</v>
      </c>
      <c r="G115" s="1" t="s">
        <v>20</v>
      </c>
      <c r="H115" s="1" t="s">
        <v>43</v>
      </c>
      <c r="I115" s="1" t="s">
        <v>211</v>
      </c>
      <c r="J115" s="1" t="s">
        <v>23</v>
      </c>
      <c r="K115" s="1" t="s">
        <v>36</v>
      </c>
      <c r="L115" s="1" t="s">
        <v>25</v>
      </c>
      <c r="M115" s="1" t="s">
        <v>36</v>
      </c>
      <c r="N115" s="1" t="s">
        <v>474</v>
      </c>
    </row>
    <row r="116" spans="1:14" x14ac:dyDescent="0.3">
      <c r="A116" s="1" t="s">
        <v>475</v>
      </c>
      <c r="B116" s="1" t="s">
        <v>476</v>
      </c>
      <c r="C116" s="1" t="s">
        <v>16</v>
      </c>
      <c r="D116" s="1" t="s">
        <v>17</v>
      </c>
      <c r="E116" s="1" t="s">
        <v>18</v>
      </c>
      <c r="F116" s="1" t="s">
        <v>19</v>
      </c>
      <c r="G116" s="1" t="s">
        <v>20</v>
      </c>
      <c r="H116" s="1" t="s">
        <v>98</v>
      </c>
      <c r="I116" s="1" t="s">
        <v>22</v>
      </c>
      <c r="J116" s="1" t="s">
        <v>35</v>
      </c>
      <c r="K116" s="1" t="s">
        <v>36</v>
      </c>
      <c r="L116" s="1" t="s">
        <v>477</v>
      </c>
      <c r="M116" s="1" t="s">
        <v>36</v>
      </c>
      <c r="N116" s="1" t="s">
        <v>180</v>
      </c>
    </row>
    <row r="117" spans="1:14" x14ac:dyDescent="0.3">
      <c r="A117" s="1" t="s">
        <v>478</v>
      </c>
      <c r="B117" s="1" t="s">
        <v>479</v>
      </c>
      <c r="C117" s="1" t="s">
        <v>16</v>
      </c>
      <c r="D117" s="1" t="s">
        <v>480</v>
      </c>
      <c r="E117" s="1" t="s">
        <v>251</v>
      </c>
      <c r="F117" s="1" t="s">
        <v>32</v>
      </c>
      <c r="G117" s="1" t="s">
        <v>20</v>
      </c>
      <c r="H117" s="1" t="s">
        <v>135</v>
      </c>
      <c r="I117" s="1" t="s">
        <v>34</v>
      </c>
      <c r="J117" s="1" t="s">
        <v>23</v>
      </c>
      <c r="K117" s="1" t="s">
        <v>24</v>
      </c>
      <c r="L117" s="1" t="s">
        <v>25</v>
      </c>
      <c r="M117" s="1" t="s">
        <v>36</v>
      </c>
      <c r="N117" s="1" t="s">
        <v>481</v>
      </c>
    </row>
    <row r="118" spans="1:14" x14ac:dyDescent="0.3">
      <c r="A118" s="1" t="s">
        <v>482</v>
      </c>
      <c r="B118" s="1" t="s">
        <v>483</v>
      </c>
      <c r="C118" s="1" t="s">
        <v>484</v>
      </c>
      <c r="D118" s="1" t="s">
        <v>90</v>
      </c>
      <c r="E118" s="1" t="s">
        <v>65</v>
      </c>
      <c r="F118" s="1" t="s">
        <v>32</v>
      </c>
      <c r="G118" s="1" t="s">
        <v>20</v>
      </c>
      <c r="H118" s="1" t="s">
        <v>21</v>
      </c>
      <c r="I118" s="1" t="s">
        <v>34</v>
      </c>
      <c r="J118" s="1" t="s">
        <v>23</v>
      </c>
      <c r="K118" s="1" t="s">
        <v>24</v>
      </c>
      <c r="L118" s="1" t="s">
        <v>25</v>
      </c>
      <c r="M118" s="1" t="s">
        <v>36</v>
      </c>
      <c r="N118" s="1" t="s">
        <v>485</v>
      </c>
    </row>
    <row r="119" spans="1:14" x14ac:dyDescent="0.3">
      <c r="A119" s="1" t="s">
        <v>486</v>
      </c>
      <c r="B119" s="1" t="s">
        <v>487</v>
      </c>
      <c r="C119" s="1" t="s">
        <v>29</v>
      </c>
      <c r="D119" s="1" t="s">
        <v>480</v>
      </c>
      <c r="E119" s="1" t="s">
        <v>110</v>
      </c>
      <c r="F119" s="1" t="s">
        <v>32</v>
      </c>
      <c r="G119" s="1" t="s">
        <v>20</v>
      </c>
      <c r="H119" s="1" t="s">
        <v>33</v>
      </c>
      <c r="I119" s="1" t="s">
        <v>34</v>
      </c>
      <c r="J119" s="1" t="s">
        <v>35</v>
      </c>
      <c r="K119" s="1" t="s">
        <v>36</v>
      </c>
      <c r="L119" s="1" t="s">
        <v>25</v>
      </c>
      <c r="M119" s="1" t="s">
        <v>36</v>
      </c>
      <c r="N119" s="1" t="s">
        <v>38</v>
      </c>
    </row>
    <row r="120" spans="1:14" x14ac:dyDescent="0.3">
      <c r="A120" s="1" t="s">
        <v>488</v>
      </c>
      <c r="B120" s="1" t="s">
        <v>489</v>
      </c>
      <c r="C120" s="1" t="s">
        <v>16</v>
      </c>
      <c r="D120" s="1" t="s">
        <v>48</v>
      </c>
      <c r="E120" s="1" t="s">
        <v>77</v>
      </c>
      <c r="F120" s="1" t="s">
        <v>32</v>
      </c>
      <c r="G120" s="1" t="s">
        <v>20</v>
      </c>
      <c r="H120" s="1" t="s">
        <v>43</v>
      </c>
      <c r="I120" s="1" t="s">
        <v>34</v>
      </c>
      <c r="J120" s="1" t="s">
        <v>35</v>
      </c>
      <c r="K120" s="1" t="s">
        <v>36</v>
      </c>
      <c r="L120" s="1" t="s">
        <v>25</v>
      </c>
      <c r="M120" s="1" t="s">
        <v>36</v>
      </c>
      <c r="N120" s="1" t="s">
        <v>38</v>
      </c>
    </row>
    <row r="121" spans="1:14" x14ac:dyDescent="0.3">
      <c r="A121" s="1" t="s">
        <v>490</v>
      </c>
      <c r="B121" s="1" t="s">
        <v>491</v>
      </c>
      <c r="C121" s="1" t="s">
        <v>492</v>
      </c>
      <c r="D121" s="1" t="s">
        <v>17</v>
      </c>
      <c r="E121" s="1" t="s">
        <v>18</v>
      </c>
      <c r="F121" s="1" t="s">
        <v>32</v>
      </c>
      <c r="G121" s="1" t="s">
        <v>20</v>
      </c>
      <c r="H121" s="1" t="s">
        <v>98</v>
      </c>
      <c r="I121" s="1" t="s">
        <v>34</v>
      </c>
      <c r="J121" s="1" t="s">
        <v>35</v>
      </c>
      <c r="K121" s="1" t="s">
        <v>36</v>
      </c>
      <c r="L121" s="1" t="s">
        <v>25</v>
      </c>
      <c r="M121" s="1" t="s">
        <v>36</v>
      </c>
      <c r="N121" s="1" t="s">
        <v>493</v>
      </c>
    </row>
    <row r="122" spans="1:14" x14ac:dyDescent="0.3">
      <c r="A122" s="1" t="s">
        <v>494</v>
      </c>
      <c r="B122" s="1" t="s">
        <v>495</v>
      </c>
      <c r="C122" s="1" t="s">
        <v>63</v>
      </c>
      <c r="D122" s="1" t="s">
        <v>170</v>
      </c>
      <c r="E122" s="1" t="s">
        <v>65</v>
      </c>
      <c r="F122" s="1" t="s">
        <v>19</v>
      </c>
      <c r="G122" s="1" t="s">
        <v>20</v>
      </c>
      <c r="H122" s="1" t="s">
        <v>66</v>
      </c>
      <c r="I122" s="1" t="s">
        <v>34</v>
      </c>
      <c r="J122" s="1" t="s">
        <v>35</v>
      </c>
      <c r="K122" s="1" t="s">
        <v>36</v>
      </c>
      <c r="L122" s="1" t="s">
        <v>25</v>
      </c>
      <c r="M122" s="1" t="s">
        <v>36</v>
      </c>
      <c r="N122" s="1" t="s">
        <v>238</v>
      </c>
    </row>
    <row r="123" spans="1:14" x14ac:dyDescent="0.3">
      <c r="A123" s="1" t="s">
        <v>496</v>
      </c>
      <c r="B123" s="1" t="s">
        <v>497</v>
      </c>
      <c r="C123" s="1" t="s">
        <v>47</v>
      </c>
      <c r="D123" s="1" t="s">
        <v>205</v>
      </c>
      <c r="E123" s="1" t="s">
        <v>56</v>
      </c>
      <c r="F123" s="1" t="s">
        <v>32</v>
      </c>
      <c r="G123" s="1" t="s">
        <v>20</v>
      </c>
      <c r="H123" s="1" t="s">
        <v>43</v>
      </c>
      <c r="I123" s="1" t="s">
        <v>34</v>
      </c>
      <c r="J123" s="1" t="s">
        <v>35</v>
      </c>
      <c r="K123" s="1" t="s">
        <v>24</v>
      </c>
      <c r="L123" s="1" t="s">
        <v>25</v>
      </c>
      <c r="M123" s="1" t="s">
        <v>36</v>
      </c>
      <c r="N123" s="1" t="s">
        <v>498</v>
      </c>
    </row>
    <row r="124" spans="1:14" x14ac:dyDescent="0.3">
      <c r="A124" s="1" t="s">
        <v>499</v>
      </c>
      <c r="B124" s="1" t="s">
        <v>500</v>
      </c>
      <c r="C124" s="1" t="s">
        <v>501</v>
      </c>
      <c r="D124" s="1" t="s">
        <v>109</v>
      </c>
      <c r="E124" s="1" t="s">
        <v>502</v>
      </c>
      <c r="F124" s="1" t="s">
        <v>32</v>
      </c>
      <c r="G124" s="1" t="s">
        <v>20</v>
      </c>
      <c r="H124" s="1" t="s">
        <v>43</v>
      </c>
      <c r="I124" s="1" t="s">
        <v>22</v>
      </c>
      <c r="J124" s="1" t="s">
        <v>35</v>
      </c>
      <c r="K124" s="1" t="s">
        <v>36</v>
      </c>
      <c r="L124" s="1" t="s">
        <v>25</v>
      </c>
      <c r="M124" s="1" t="s">
        <v>36</v>
      </c>
      <c r="N124" s="1" t="s">
        <v>503</v>
      </c>
    </row>
    <row r="125" spans="1:14" x14ac:dyDescent="0.3">
      <c r="A125" s="1" t="s">
        <v>504</v>
      </c>
      <c r="B125" s="1" t="s">
        <v>505</v>
      </c>
      <c r="C125" s="1" t="s">
        <v>16</v>
      </c>
      <c r="D125" s="1" t="s">
        <v>30</v>
      </c>
      <c r="E125" s="1" t="s">
        <v>506</v>
      </c>
      <c r="F125" s="1" t="s">
        <v>32</v>
      </c>
      <c r="G125" s="1" t="s">
        <v>20</v>
      </c>
      <c r="H125" s="1" t="s">
        <v>98</v>
      </c>
      <c r="I125" s="1" t="s">
        <v>34</v>
      </c>
      <c r="J125" s="1" t="s">
        <v>50</v>
      </c>
      <c r="K125" s="1" t="s">
        <v>24</v>
      </c>
      <c r="L125" s="1" t="s">
        <v>25</v>
      </c>
      <c r="M125" s="1" t="s">
        <v>36</v>
      </c>
      <c r="N125" s="1" t="s">
        <v>51</v>
      </c>
    </row>
    <row r="126" spans="1:14" x14ac:dyDescent="0.3">
      <c r="A126" s="1" t="s">
        <v>507</v>
      </c>
      <c r="B126" s="1" t="s">
        <v>508</v>
      </c>
      <c r="C126" s="1" t="s">
        <v>509</v>
      </c>
      <c r="D126" s="1" t="s">
        <v>510</v>
      </c>
      <c r="E126" s="1" t="s">
        <v>85</v>
      </c>
      <c r="F126" s="1" t="s">
        <v>32</v>
      </c>
      <c r="G126" s="1" t="s">
        <v>20</v>
      </c>
      <c r="H126" s="1" t="s">
        <v>43</v>
      </c>
      <c r="I126" s="1" t="s">
        <v>22</v>
      </c>
      <c r="J126" s="1" t="s">
        <v>50</v>
      </c>
      <c r="K126" s="1" t="s">
        <v>24</v>
      </c>
      <c r="L126" s="1" t="s">
        <v>25</v>
      </c>
      <c r="M126" s="1" t="s">
        <v>36</v>
      </c>
      <c r="N126" s="1" t="s">
        <v>87</v>
      </c>
    </row>
    <row r="127" spans="1:14" x14ac:dyDescent="0.3">
      <c r="A127" s="1" t="s">
        <v>511</v>
      </c>
      <c r="B127" s="1" t="s">
        <v>512</v>
      </c>
      <c r="C127" s="1" t="s">
        <v>84</v>
      </c>
      <c r="D127" s="1" t="s">
        <v>209</v>
      </c>
      <c r="E127" s="1" t="s">
        <v>210</v>
      </c>
      <c r="F127" s="1" t="s">
        <v>19</v>
      </c>
      <c r="G127" s="1" t="s">
        <v>20</v>
      </c>
      <c r="H127" s="1" t="s">
        <v>66</v>
      </c>
      <c r="I127" s="1" t="s">
        <v>22</v>
      </c>
      <c r="J127" s="1" t="s">
        <v>50</v>
      </c>
      <c r="K127" s="1" t="s">
        <v>24</v>
      </c>
      <c r="L127" s="1" t="s">
        <v>72</v>
      </c>
      <c r="M127" s="1" t="s">
        <v>36</v>
      </c>
      <c r="N127" s="1" t="s">
        <v>244</v>
      </c>
    </row>
    <row r="128" spans="1:14" x14ac:dyDescent="0.3">
      <c r="A128" s="1" t="s">
        <v>513</v>
      </c>
      <c r="B128" s="1" t="s">
        <v>514</v>
      </c>
      <c r="C128" s="1" t="s">
        <v>84</v>
      </c>
      <c r="D128" s="1" t="s">
        <v>350</v>
      </c>
      <c r="E128" s="1" t="s">
        <v>515</v>
      </c>
      <c r="F128" s="1" t="s">
        <v>32</v>
      </c>
      <c r="G128" s="1" t="s">
        <v>20</v>
      </c>
      <c r="H128" s="1" t="s">
        <v>43</v>
      </c>
      <c r="I128" s="1" t="s">
        <v>22</v>
      </c>
      <c r="J128" s="1" t="s">
        <v>35</v>
      </c>
      <c r="K128" s="1" t="s">
        <v>36</v>
      </c>
      <c r="L128" s="1" t="s">
        <v>72</v>
      </c>
      <c r="M128" s="1" t="s">
        <v>36</v>
      </c>
      <c r="N128" s="1" t="s">
        <v>395</v>
      </c>
    </row>
    <row r="129" spans="1:14" x14ac:dyDescent="0.3">
      <c r="A129" s="1" t="s">
        <v>516</v>
      </c>
      <c r="B129" s="1" t="s">
        <v>517</v>
      </c>
      <c r="C129" s="1" t="s">
        <v>16</v>
      </c>
      <c r="D129" s="1" t="s">
        <v>518</v>
      </c>
      <c r="E129" s="1" t="s">
        <v>71</v>
      </c>
      <c r="F129" s="1" t="s">
        <v>19</v>
      </c>
      <c r="G129" s="1" t="s">
        <v>20</v>
      </c>
      <c r="H129" s="1" t="s">
        <v>33</v>
      </c>
      <c r="I129" s="1" t="s">
        <v>22</v>
      </c>
      <c r="J129" s="1" t="s">
        <v>35</v>
      </c>
      <c r="K129" s="1" t="s">
        <v>24</v>
      </c>
      <c r="L129" s="1" t="s">
        <v>72</v>
      </c>
      <c r="M129" s="1" t="s">
        <v>183</v>
      </c>
      <c r="N129" s="1" t="s">
        <v>73</v>
      </c>
    </row>
    <row r="130" spans="1:14" x14ac:dyDescent="0.3">
      <c r="A130" s="1" t="s">
        <v>519</v>
      </c>
      <c r="B130" s="1" t="s">
        <v>520</v>
      </c>
      <c r="C130" s="1" t="s">
        <v>47</v>
      </c>
      <c r="D130" s="1" t="s">
        <v>521</v>
      </c>
      <c r="E130" s="1" t="s">
        <v>522</v>
      </c>
      <c r="F130" s="1" t="s">
        <v>32</v>
      </c>
      <c r="G130" s="1" t="s">
        <v>20</v>
      </c>
      <c r="H130" s="1" t="s">
        <v>98</v>
      </c>
      <c r="I130" s="1" t="s">
        <v>22</v>
      </c>
      <c r="J130" s="1" t="s">
        <v>50</v>
      </c>
      <c r="K130" s="1" t="s">
        <v>24</v>
      </c>
      <c r="L130" s="1" t="s">
        <v>25</v>
      </c>
      <c r="M130" s="1" t="s">
        <v>24</v>
      </c>
      <c r="N130" s="1" t="s">
        <v>112</v>
      </c>
    </row>
    <row r="131" spans="1:14" x14ac:dyDescent="0.3">
      <c r="A131" s="1" t="s">
        <v>523</v>
      </c>
      <c r="B131" s="1" t="s">
        <v>524</v>
      </c>
      <c r="C131" s="1" t="s">
        <v>41</v>
      </c>
      <c r="D131" s="1" t="s">
        <v>64</v>
      </c>
      <c r="E131" s="1" t="s">
        <v>525</v>
      </c>
      <c r="F131" s="1" t="s">
        <v>32</v>
      </c>
      <c r="G131" s="1" t="s">
        <v>20</v>
      </c>
      <c r="H131" s="1" t="s">
        <v>43</v>
      </c>
      <c r="I131" s="1" t="s">
        <v>22</v>
      </c>
      <c r="J131" s="1" t="s">
        <v>50</v>
      </c>
      <c r="K131" s="1" t="s">
        <v>36</v>
      </c>
      <c r="L131" s="1" t="s">
        <v>449</v>
      </c>
      <c r="M131" s="1" t="s">
        <v>36</v>
      </c>
      <c r="N131" s="1" t="s">
        <v>526</v>
      </c>
    </row>
    <row r="132" spans="1:14" x14ac:dyDescent="0.3">
      <c r="A132" s="1" t="s">
        <v>527</v>
      </c>
      <c r="B132" s="1" t="s">
        <v>528</v>
      </c>
      <c r="C132" s="1" t="s">
        <v>16</v>
      </c>
      <c r="D132" s="1" t="s">
        <v>186</v>
      </c>
      <c r="E132" s="1" t="s">
        <v>206</v>
      </c>
      <c r="F132" s="1" t="s">
        <v>32</v>
      </c>
      <c r="G132" s="1" t="s">
        <v>20</v>
      </c>
      <c r="H132" s="1" t="s">
        <v>33</v>
      </c>
      <c r="I132" s="1" t="s">
        <v>22</v>
      </c>
      <c r="J132" s="1" t="s">
        <v>35</v>
      </c>
      <c r="K132" s="1" t="s">
        <v>24</v>
      </c>
      <c r="L132" s="1" t="s">
        <v>72</v>
      </c>
      <c r="M132" s="1" t="s">
        <v>36</v>
      </c>
      <c r="N132" s="1" t="s">
        <v>73</v>
      </c>
    </row>
    <row r="133" spans="1:14" x14ac:dyDescent="0.3">
      <c r="A133" s="1" t="s">
        <v>529</v>
      </c>
      <c r="B133" s="1" t="s">
        <v>530</v>
      </c>
      <c r="C133" s="1" t="s">
        <v>47</v>
      </c>
      <c r="D133" s="1" t="s">
        <v>205</v>
      </c>
      <c r="E133" s="1" t="s">
        <v>56</v>
      </c>
      <c r="F133" s="1" t="s">
        <v>19</v>
      </c>
      <c r="G133" s="1" t="s">
        <v>20</v>
      </c>
      <c r="H133" s="1" t="s">
        <v>33</v>
      </c>
      <c r="I133" s="1" t="s">
        <v>34</v>
      </c>
      <c r="J133" s="1" t="s">
        <v>35</v>
      </c>
      <c r="K133" s="1" t="s">
        <v>36</v>
      </c>
      <c r="L133" s="1" t="s">
        <v>25</v>
      </c>
      <c r="M133" s="1" t="s">
        <v>36</v>
      </c>
      <c r="N133" s="1" t="s">
        <v>531</v>
      </c>
    </row>
    <row r="134" spans="1:14" x14ac:dyDescent="0.3">
      <c r="A134" s="1" t="s">
        <v>532</v>
      </c>
      <c r="B134" s="1" t="s">
        <v>533</v>
      </c>
      <c r="C134" s="1" t="s">
        <v>84</v>
      </c>
      <c r="D134" s="1" t="s">
        <v>30</v>
      </c>
      <c r="E134" s="1" t="s">
        <v>85</v>
      </c>
      <c r="F134" s="1" t="s">
        <v>19</v>
      </c>
      <c r="G134" s="1" t="s">
        <v>20</v>
      </c>
      <c r="H134" s="1" t="s">
        <v>33</v>
      </c>
      <c r="I134" s="1" t="s">
        <v>34</v>
      </c>
      <c r="J134" s="1" t="s">
        <v>35</v>
      </c>
      <c r="K134" s="1" t="s">
        <v>24</v>
      </c>
      <c r="L134" s="1" t="s">
        <v>72</v>
      </c>
      <c r="M134" s="1" t="s">
        <v>534</v>
      </c>
      <c r="N134" s="1" t="s">
        <v>73</v>
      </c>
    </row>
    <row r="135" spans="1:14" x14ac:dyDescent="0.3">
      <c r="A135" s="1" t="s">
        <v>535</v>
      </c>
      <c r="B135" s="1" t="s">
        <v>536</v>
      </c>
      <c r="C135" s="1" t="s">
        <v>16</v>
      </c>
      <c r="D135" s="1" t="s">
        <v>537</v>
      </c>
      <c r="E135" s="1" t="s">
        <v>65</v>
      </c>
      <c r="F135" s="1" t="s">
        <v>19</v>
      </c>
      <c r="G135" s="1" t="s">
        <v>20</v>
      </c>
      <c r="H135" s="1" t="s">
        <v>135</v>
      </c>
      <c r="I135" s="1" t="s">
        <v>22</v>
      </c>
      <c r="J135" s="1" t="s">
        <v>35</v>
      </c>
      <c r="K135" s="1" t="s">
        <v>24</v>
      </c>
      <c r="L135" s="1" t="s">
        <v>25</v>
      </c>
      <c r="M135" s="1" t="s">
        <v>36</v>
      </c>
      <c r="N135" s="1" t="s">
        <v>538</v>
      </c>
    </row>
    <row r="136" spans="1:14" x14ac:dyDescent="0.3">
      <c r="A136" s="1" t="s">
        <v>539</v>
      </c>
      <c r="B136" s="1" t="s">
        <v>540</v>
      </c>
      <c r="C136" s="1" t="s">
        <v>29</v>
      </c>
      <c r="D136" s="1" t="s">
        <v>109</v>
      </c>
      <c r="E136" s="1" t="s">
        <v>206</v>
      </c>
      <c r="F136" s="1" t="s">
        <v>19</v>
      </c>
      <c r="G136" s="1" t="s">
        <v>20</v>
      </c>
      <c r="H136" s="1" t="s">
        <v>135</v>
      </c>
      <c r="I136" s="1" t="s">
        <v>22</v>
      </c>
      <c r="J136" s="1" t="s">
        <v>35</v>
      </c>
      <c r="K136" s="1" t="s">
        <v>36</v>
      </c>
      <c r="L136" s="1" t="s">
        <v>25</v>
      </c>
      <c r="M136" s="1" t="s">
        <v>36</v>
      </c>
      <c r="N136" s="1" t="s">
        <v>440</v>
      </c>
    </row>
    <row r="137" spans="1:14" x14ac:dyDescent="0.3">
      <c r="A137" s="1" t="s">
        <v>541</v>
      </c>
      <c r="B137" s="1" t="s">
        <v>542</v>
      </c>
      <c r="C137" s="1" t="s">
        <v>47</v>
      </c>
      <c r="D137" s="1" t="s">
        <v>250</v>
      </c>
      <c r="E137" s="1" t="s">
        <v>455</v>
      </c>
      <c r="F137" s="1" t="s">
        <v>32</v>
      </c>
      <c r="G137" s="1" t="s">
        <v>20</v>
      </c>
      <c r="H137" s="1" t="s">
        <v>243</v>
      </c>
      <c r="I137" s="1" t="s">
        <v>22</v>
      </c>
      <c r="J137" s="1" t="s">
        <v>23</v>
      </c>
      <c r="K137" s="1" t="s">
        <v>36</v>
      </c>
      <c r="L137" s="1" t="s">
        <v>78</v>
      </c>
      <c r="M137" s="1" t="s">
        <v>36</v>
      </c>
      <c r="N137" s="1" t="s">
        <v>148</v>
      </c>
    </row>
    <row r="138" spans="1:14" x14ac:dyDescent="0.3">
      <c r="A138" s="1" t="s">
        <v>543</v>
      </c>
      <c r="B138" s="1" t="s">
        <v>544</v>
      </c>
      <c r="C138" s="1" t="s">
        <v>16</v>
      </c>
      <c r="D138" s="1" t="s">
        <v>261</v>
      </c>
      <c r="E138" s="1" t="s">
        <v>18</v>
      </c>
      <c r="F138" s="1" t="s">
        <v>32</v>
      </c>
      <c r="G138" s="1" t="s">
        <v>20</v>
      </c>
      <c r="H138" s="1" t="s">
        <v>33</v>
      </c>
      <c r="I138" s="1" t="s">
        <v>22</v>
      </c>
      <c r="J138" s="1" t="s">
        <v>50</v>
      </c>
      <c r="K138" s="1" t="s">
        <v>24</v>
      </c>
      <c r="L138" s="1" t="s">
        <v>25</v>
      </c>
      <c r="M138" s="1" t="s">
        <v>36</v>
      </c>
      <c r="N138" s="1" t="s">
        <v>79</v>
      </c>
    </row>
    <row r="139" spans="1:14" x14ac:dyDescent="0.3">
      <c r="A139" s="1" t="s">
        <v>545</v>
      </c>
      <c r="B139" s="1" t="s">
        <v>546</v>
      </c>
      <c r="C139" s="1" t="s">
        <v>29</v>
      </c>
      <c r="D139" s="1" t="s">
        <v>48</v>
      </c>
      <c r="E139" s="1" t="s">
        <v>60</v>
      </c>
      <c r="F139" s="1" t="s">
        <v>32</v>
      </c>
      <c r="G139" s="1" t="s">
        <v>20</v>
      </c>
      <c r="H139" s="1" t="s">
        <v>33</v>
      </c>
      <c r="I139" s="1" t="s">
        <v>34</v>
      </c>
      <c r="J139" s="1" t="s">
        <v>35</v>
      </c>
      <c r="K139" s="1" t="s">
        <v>36</v>
      </c>
      <c r="L139" s="1" t="s">
        <v>25</v>
      </c>
      <c r="M139" s="1" t="s">
        <v>36</v>
      </c>
      <c r="N139" s="1" t="s">
        <v>38</v>
      </c>
    </row>
    <row r="140" spans="1:14" x14ac:dyDescent="0.3">
      <c r="A140" s="1" t="s">
        <v>547</v>
      </c>
      <c r="B140" s="1" t="s">
        <v>548</v>
      </c>
      <c r="C140" s="1" t="s">
        <v>16</v>
      </c>
      <c r="D140" s="1" t="s">
        <v>549</v>
      </c>
      <c r="E140" s="1" t="s">
        <v>71</v>
      </c>
      <c r="F140" s="1" t="s">
        <v>32</v>
      </c>
      <c r="G140" s="1" t="s">
        <v>20</v>
      </c>
      <c r="H140" s="1" t="s">
        <v>33</v>
      </c>
      <c r="I140" s="1" t="s">
        <v>34</v>
      </c>
      <c r="J140" s="1" t="s">
        <v>35</v>
      </c>
      <c r="K140" s="1" t="s">
        <v>36</v>
      </c>
      <c r="L140" s="1" t="s">
        <v>25</v>
      </c>
      <c r="M140" s="1" t="s">
        <v>36</v>
      </c>
      <c r="N140" s="1" t="s">
        <v>550</v>
      </c>
    </row>
    <row r="141" spans="1:14" x14ac:dyDescent="0.3">
      <c r="A141" s="1" t="s">
        <v>551</v>
      </c>
      <c r="B141" s="1" t="s">
        <v>552</v>
      </c>
      <c r="C141" s="1" t="s">
        <v>29</v>
      </c>
      <c r="D141" s="1" t="s">
        <v>142</v>
      </c>
      <c r="E141" s="1" t="s">
        <v>506</v>
      </c>
      <c r="F141" s="1" t="s">
        <v>32</v>
      </c>
      <c r="G141" s="1" t="s">
        <v>20</v>
      </c>
      <c r="H141" s="1" t="s">
        <v>33</v>
      </c>
      <c r="I141" s="1" t="s">
        <v>34</v>
      </c>
      <c r="J141" s="1" t="s">
        <v>35</v>
      </c>
      <c r="K141" s="1" t="s">
        <v>36</v>
      </c>
      <c r="L141" s="1" t="s">
        <v>25</v>
      </c>
      <c r="M141" s="1" t="s">
        <v>553</v>
      </c>
      <c r="N141" s="1" t="s">
        <v>38</v>
      </c>
    </row>
    <row r="142" spans="1:14" x14ac:dyDescent="0.3">
      <c r="A142" s="1" t="s">
        <v>554</v>
      </c>
      <c r="B142" s="1" t="s">
        <v>555</v>
      </c>
      <c r="C142" s="1" t="s">
        <v>16</v>
      </c>
      <c r="D142" s="1" t="s">
        <v>64</v>
      </c>
      <c r="E142" s="1" t="s">
        <v>65</v>
      </c>
      <c r="F142" s="1" t="s">
        <v>32</v>
      </c>
      <c r="G142" s="1" t="s">
        <v>20</v>
      </c>
      <c r="H142" s="1" t="s">
        <v>33</v>
      </c>
      <c r="I142" s="1" t="s">
        <v>34</v>
      </c>
      <c r="J142" s="1" t="s">
        <v>50</v>
      </c>
      <c r="K142" s="1" t="s">
        <v>24</v>
      </c>
      <c r="L142" s="1" t="s">
        <v>25</v>
      </c>
      <c r="M142" s="1" t="s">
        <v>36</v>
      </c>
      <c r="N142" s="1" t="s">
        <v>38</v>
      </c>
    </row>
    <row r="143" spans="1:14" x14ac:dyDescent="0.3">
      <c r="A143" s="1" t="s">
        <v>556</v>
      </c>
      <c r="B143" s="1" t="s">
        <v>557</v>
      </c>
      <c r="C143" s="1" t="s">
        <v>16</v>
      </c>
      <c r="D143" s="1" t="s">
        <v>64</v>
      </c>
      <c r="E143" s="1" t="s">
        <v>65</v>
      </c>
      <c r="F143" s="1" t="s">
        <v>32</v>
      </c>
      <c r="G143" s="1" t="s">
        <v>20</v>
      </c>
      <c r="H143" s="1" t="s">
        <v>33</v>
      </c>
      <c r="I143" s="1" t="s">
        <v>34</v>
      </c>
      <c r="J143" s="1" t="s">
        <v>35</v>
      </c>
      <c r="K143" s="1" t="s">
        <v>36</v>
      </c>
      <c r="L143" s="1" t="s">
        <v>72</v>
      </c>
      <c r="M143" s="1" t="s">
        <v>36</v>
      </c>
      <c r="N143" s="1" t="s">
        <v>73</v>
      </c>
    </row>
    <row r="144" spans="1:14" x14ac:dyDescent="0.3">
      <c r="A144" s="1" t="s">
        <v>558</v>
      </c>
      <c r="B144" s="1" t="s">
        <v>559</v>
      </c>
      <c r="C144" s="1" t="s">
        <v>16</v>
      </c>
      <c r="D144" s="1" t="s">
        <v>335</v>
      </c>
      <c r="E144" s="1" t="s">
        <v>77</v>
      </c>
      <c r="F144" s="1" t="s">
        <v>32</v>
      </c>
      <c r="G144" s="1" t="s">
        <v>20</v>
      </c>
      <c r="H144" s="1" t="s">
        <v>33</v>
      </c>
      <c r="I144" s="1" t="s">
        <v>34</v>
      </c>
      <c r="J144" s="1" t="s">
        <v>35</v>
      </c>
      <c r="K144" s="1" t="s">
        <v>36</v>
      </c>
      <c r="L144" s="1" t="s">
        <v>25</v>
      </c>
      <c r="M144" s="1" t="s">
        <v>36</v>
      </c>
      <c r="N144" s="1" t="s">
        <v>38</v>
      </c>
    </row>
    <row r="145" spans="1:14" x14ac:dyDescent="0.3">
      <c r="A145" s="1" t="s">
        <v>560</v>
      </c>
      <c r="B145" s="1" t="s">
        <v>418</v>
      </c>
      <c r="C145" s="1" t="s">
        <v>115</v>
      </c>
      <c r="D145" s="1" t="s">
        <v>561</v>
      </c>
      <c r="E145" s="1" t="s">
        <v>31</v>
      </c>
      <c r="F145" s="1" t="s">
        <v>32</v>
      </c>
      <c r="G145" s="1" t="s">
        <v>20</v>
      </c>
      <c r="H145" s="1" t="s">
        <v>105</v>
      </c>
      <c r="I145" s="1" t="s">
        <v>34</v>
      </c>
      <c r="J145" s="1" t="s">
        <v>23</v>
      </c>
      <c r="K145" s="1" t="s">
        <v>36</v>
      </c>
      <c r="L145" s="1" t="s">
        <v>562</v>
      </c>
      <c r="M145" s="1" t="s">
        <v>36</v>
      </c>
      <c r="N145" s="1" t="s">
        <v>257</v>
      </c>
    </row>
    <row r="146" spans="1:14" x14ac:dyDescent="0.3">
      <c r="A146" s="1" t="s">
        <v>563</v>
      </c>
      <c r="B146" s="1" t="s">
        <v>564</v>
      </c>
      <c r="C146" s="1" t="s">
        <v>63</v>
      </c>
      <c r="D146" s="1" t="s">
        <v>170</v>
      </c>
      <c r="E146" s="1" t="s">
        <v>65</v>
      </c>
      <c r="F146" s="1" t="s">
        <v>19</v>
      </c>
      <c r="G146" s="1" t="s">
        <v>20</v>
      </c>
      <c r="H146" s="1" t="s">
        <v>33</v>
      </c>
      <c r="I146" s="1" t="s">
        <v>34</v>
      </c>
      <c r="J146" s="1" t="s">
        <v>35</v>
      </c>
      <c r="K146" s="1" t="s">
        <v>36</v>
      </c>
      <c r="L146" s="1" t="s">
        <v>25</v>
      </c>
      <c r="M146" s="1" t="s">
        <v>36</v>
      </c>
      <c r="N146" s="1" t="s">
        <v>238</v>
      </c>
    </row>
    <row r="147" spans="1:14" x14ac:dyDescent="0.3">
      <c r="A147" s="1" t="s">
        <v>565</v>
      </c>
      <c r="B147" s="1" t="s">
        <v>201</v>
      </c>
      <c r="C147" s="1" t="s">
        <v>422</v>
      </c>
      <c r="D147" s="1" t="s">
        <v>76</v>
      </c>
      <c r="E147" s="1" t="s">
        <v>60</v>
      </c>
      <c r="F147" s="1" t="s">
        <v>32</v>
      </c>
      <c r="G147" s="1" t="s">
        <v>20</v>
      </c>
      <c r="H147" s="1" t="s">
        <v>66</v>
      </c>
      <c r="I147" s="1" t="s">
        <v>34</v>
      </c>
      <c r="J147" s="1" t="s">
        <v>35</v>
      </c>
      <c r="K147" s="1" t="s">
        <v>36</v>
      </c>
      <c r="L147" s="1" t="s">
        <v>25</v>
      </c>
      <c r="M147" s="1" t="s">
        <v>36</v>
      </c>
      <c r="N147" s="1" t="s">
        <v>38</v>
      </c>
    </row>
    <row r="148" spans="1:14" x14ac:dyDescent="0.3">
      <c r="A148" s="1" t="s">
        <v>566</v>
      </c>
      <c r="B148" s="1" t="s">
        <v>567</v>
      </c>
      <c r="C148" s="1" t="s">
        <v>568</v>
      </c>
      <c r="D148" s="1" t="s">
        <v>569</v>
      </c>
      <c r="E148" s="1" t="s">
        <v>570</v>
      </c>
      <c r="F148" s="1" t="s">
        <v>32</v>
      </c>
      <c r="G148" s="1" t="s">
        <v>20</v>
      </c>
      <c r="H148" s="1" t="s">
        <v>105</v>
      </c>
      <c r="I148" s="1" t="s">
        <v>34</v>
      </c>
      <c r="J148" s="1" t="s">
        <v>23</v>
      </c>
      <c r="K148" s="1" t="s">
        <v>36</v>
      </c>
      <c r="L148" s="1" t="s">
        <v>25</v>
      </c>
      <c r="M148" s="1" t="s">
        <v>24</v>
      </c>
      <c r="N148" s="1" t="s">
        <v>571</v>
      </c>
    </row>
    <row r="149" spans="1:14" x14ac:dyDescent="0.3">
      <c r="A149" s="1" t="s">
        <v>572</v>
      </c>
      <c r="B149" s="1" t="s">
        <v>573</v>
      </c>
      <c r="C149" s="1" t="s">
        <v>47</v>
      </c>
      <c r="D149" s="1" t="s">
        <v>142</v>
      </c>
      <c r="E149" s="1" t="s">
        <v>143</v>
      </c>
      <c r="F149" s="1" t="s">
        <v>32</v>
      </c>
      <c r="G149" s="1" t="s">
        <v>20</v>
      </c>
      <c r="H149" s="1" t="s">
        <v>135</v>
      </c>
      <c r="I149" s="1" t="s">
        <v>22</v>
      </c>
      <c r="J149" s="1" t="s">
        <v>35</v>
      </c>
      <c r="K149" s="1" t="s">
        <v>36</v>
      </c>
      <c r="L149" s="1" t="s">
        <v>72</v>
      </c>
      <c r="M149" s="1" t="s">
        <v>36</v>
      </c>
      <c r="N149" s="1" t="s">
        <v>195</v>
      </c>
    </row>
    <row r="150" spans="1:14" x14ac:dyDescent="0.3">
      <c r="A150" s="1" t="s">
        <v>574</v>
      </c>
      <c r="B150" s="1" t="s">
        <v>575</v>
      </c>
      <c r="C150" s="1" t="s">
        <v>16</v>
      </c>
      <c r="D150" s="1" t="s">
        <v>70</v>
      </c>
      <c r="E150" s="1" t="s">
        <v>71</v>
      </c>
      <c r="F150" s="1" t="s">
        <v>32</v>
      </c>
      <c r="G150" s="1" t="s">
        <v>20</v>
      </c>
      <c r="H150" s="1" t="s">
        <v>135</v>
      </c>
      <c r="I150" s="1" t="s">
        <v>22</v>
      </c>
      <c r="J150" s="1" t="s">
        <v>23</v>
      </c>
      <c r="K150" s="1" t="s">
        <v>36</v>
      </c>
      <c r="L150" s="1" t="s">
        <v>72</v>
      </c>
      <c r="M150" s="1" t="s">
        <v>36</v>
      </c>
      <c r="N150" s="1" t="s">
        <v>73</v>
      </c>
    </row>
    <row r="151" spans="1:14" x14ac:dyDescent="0.3">
      <c r="A151" s="1" t="s">
        <v>576</v>
      </c>
      <c r="B151" s="1" t="s">
        <v>577</v>
      </c>
      <c r="C151" s="1" t="s">
        <v>84</v>
      </c>
      <c r="D151" s="1" t="s">
        <v>578</v>
      </c>
      <c r="E151" s="1" t="s">
        <v>579</v>
      </c>
      <c r="F151" s="1" t="s">
        <v>19</v>
      </c>
      <c r="G151" s="1" t="s">
        <v>20</v>
      </c>
      <c r="H151" s="1" t="s">
        <v>33</v>
      </c>
      <c r="I151" s="1" t="s">
        <v>22</v>
      </c>
      <c r="J151" s="1" t="s">
        <v>35</v>
      </c>
      <c r="K151" s="1" t="s">
        <v>24</v>
      </c>
      <c r="L151" s="1" t="s">
        <v>78</v>
      </c>
      <c r="M151" s="1" t="s">
        <v>36</v>
      </c>
      <c r="N151" s="1" t="s">
        <v>580</v>
      </c>
    </row>
    <row r="152" spans="1:14" x14ac:dyDescent="0.3">
      <c r="A152" s="1" t="s">
        <v>581</v>
      </c>
      <c r="B152" s="1" t="s">
        <v>582</v>
      </c>
      <c r="C152" s="1" t="s">
        <v>174</v>
      </c>
      <c r="D152" s="1" t="s">
        <v>583</v>
      </c>
      <c r="E152" s="1" t="s">
        <v>317</v>
      </c>
      <c r="F152" s="1" t="s">
        <v>32</v>
      </c>
      <c r="G152" s="1" t="s">
        <v>20</v>
      </c>
      <c r="H152" s="1" t="s">
        <v>21</v>
      </c>
      <c r="I152" s="1" t="s">
        <v>22</v>
      </c>
      <c r="J152" s="1" t="s">
        <v>35</v>
      </c>
      <c r="K152" s="1" t="s">
        <v>24</v>
      </c>
      <c r="L152" s="1" t="s">
        <v>25</v>
      </c>
      <c r="M152" s="1" t="s">
        <v>24</v>
      </c>
      <c r="N152" s="1" t="s">
        <v>584</v>
      </c>
    </row>
    <row r="153" spans="1:14" x14ac:dyDescent="0.3">
      <c r="A153" s="1" t="s">
        <v>585</v>
      </c>
      <c r="B153" s="1" t="s">
        <v>586</v>
      </c>
      <c r="C153" s="1" t="s">
        <v>29</v>
      </c>
      <c r="D153" s="1" t="s">
        <v>116</v>
      </c>
      <c r="E153" s="1" t="s">
        <v>31</v>
      </c>
      <c r="F153" s="1" t="s">
        <v>32</v>
      </c>
      <c r="G153" s="1" t="s">
        <v>20</v>
      </c>
      <c r="H153" s="1" t="s">
        <v>21</v>
      </c>
      <c r="I153" s="1" t="s">
        <v>34</v>
      </c>
      <c r="J153" s="1" t="s">
        <v>35</v>
      </c>
      <c r="K153" s="1" t="s">
        <v>36</v>
      </c>
      <c r="L153" s="1" t="s">
        <v>25</v>
      </c>
      <c r="M153" s="1" t="s">
        <v>36</v>
      </c>
      <c r="N153" s="1" t="s">
        <v>38</v>
      </c>
    </row>
    <row r="154" spans="1:14" x14ac:dyDescent="0.3">
      <c r="A154" s="1" t="s">
        <v>587</v>
      </c>
      <c r="B154" s="1" t="s">
        <v>145</v>
      </c>
      <c r="C154" s="1" t="s">
        <v>47</v>
      </c>
      <c r="D154" s="1" t="s">
        <v>170</v>
      </c>
      <c r="E154" s="1" t="s">
        <v>49</v>
      </c>
      <c r="F154" s="1" t="s">
        <v>32</v>
      </c>
      <c r="G154" s="1" t="s">
        <v>20</v>
      </c>
      <c r="H154" s="1" t="s">
        <v>43</v>
      </c>
      <c r="I154" s="1" t="s">
        <v>22</v>
      </c>
      <c r="J154" s="1" t="s">
        <v>50</v>
      </c>
      <c r="K154" s="1" t="s">
        <v>36</v>
      </c>
      <c r="L154" s="1" t="s">
        <v>78</v>
      </c>
      <c r="M154" s="1" t="s">
        <v>36</v>
      </c>
      <c r="N154" s="1" t="s">
        <v>148</v>
      </c>
    </row>
    <row r="155" spans="1:14" x14ac:dyDescent="0.3">
      <c r="A155" s="1" t="s">
        <v>588</v>
      </c>
      <c r="B155" s="1" t="s">
        <v>589</v>
      </c>
      <c r="C155" s="1" t="s">
        <v>590</v>
      </c>
      <c r="D155" s="1" t="s">
        <v>205</v>
      </c>
      <c r="E155" s="1" t="s">
        <v>522</v>
      </c>
      <c r="F155" s="1" t="s">
        <v>32</v>
      </c>
      <c r="G155" s="1" t="s">
        <v>20</v>
      </c>
      <c r="H155" s="1" t="s">
        <v>66</v>
      </c>
      <c r="I155" s="1" t="s">
        <v>34</v>
      </c>
      <c r="J155" s="1" t="s">
        <v>35</v>
      </c>
      <c r="K155" s="1" t="s">
        <v>36</v>
      </c>
      <c r="L155" s="1" t="s">
        <v>198</v>
      </c>
      <c r="M155" s="1" t="s">
        <v>36</v>
      </c>
      <c r="N155" s="1" t="s">
        <v>591</v>
      </c>
    </row>
    <row r="156" spans="1:14" x14ac:dyDescent="0.3">
      <c r="A156" s="1" t="s">
        <v>592</v>
      </c>
      <c r="B156" s="1" t="s">
        <v>593</v>
      </c>
      <c r="C156" s="1" t="s">
        <v>594</v>
      </c>
      <c r="D156" s="1" t="s">
        <v>595</v>
      </c>
      <c r="E156" s="1" t="s">
        <v>104</v>
      </c>
      <c r="F156" s="1" t="s">
        <v>32</v>
      </c>
      <c r="G156" s="1" t="s">
        <v>20</v>
      </c>
      <c r="H156" s="1" t="s">
        <v>33</v>
      </c>
      <c r="I156" s="1" t="s">
        <v>22</v>
      </c>
      <c r="J156" s="1" t="s">
        <v>35</v>
      </c>
      <c r="K156" s="1" t="s">
        <v>36</v>
      </c>
      <c r="L156" s="1" t="s">
        <v>25</v>
      </c>
      <c r="M156" s="1" t="s">
        <v>36</v>
      </c>
      <c r="N156" s="1" t="s">
        <v>395</v>
      </c>
    </row>
    <row r="157" spans="1:14" x14ac:dyDescent="0.3">
      <c r="A157" s="1" t="s">
        <v>596</v>
      </c>
      <c r="B157" s="1" t="s">
        <v>597</v>
      </c>
      <c r="C157" s="1" t="s">
        <v>598</v>
      </c>
      <c r="D157" s="1" t="s">
        <v>146</v>
      </c>
      <c r="E157" s="1" t="s">
        <v>18</v>
      </c>
      <c r="F157" s="1" t="s">
        <v>32</v>
      </c>
      <c r="G157" s="1" t="s">
        <v>20</v>
      </c>
      <c r="H157" s="1" t="s">
        <v>66</v>
      </c>
      <c r="I157" s="1" t="s">
        <v>211</v>
      </c>
      <c r="J157" s="1" t="s">
        <v>35</v>
      </c>
      <c r="K157" s="1" t="s">
        <v>36</v>
      </c>
      <c r="L157" s="1" t="s">
        <v>25</v>
      </c>
      <c r="M157" s="1" t="s">
        <v>36</v>
      </c>
      <c r="N157" s="1" t="s">
        <v>167</v>
      </c>
    </row>
    <row r="158" spans="1:14" x14ac:dyDescent="0.3">
      <c r="A158" s="1" t="s">
        <v>599</v>
      </c>
      <c r="B158" s="1" t="s">
        <v>600</v>
      </c>
      <c r="C158" s="1" t="s">
        <v>47</v>
      </c>
      <c r="D158" s="1" t="s">
        <v>601</v>
      </c>
      <c r="E158" s="1" t="s">
        <v>18</v>
      </c>
      <c r="F158" s="1" t="s">
        <v>19</v>
      </c>
      <c r="G158" s="1" t="s">
        <v>20</v>
      </c>
      <c r="H158" s="1" t="s">
        <v>43</v>
      </c>
      <c r="I158" s="1" t="s">
        <v>22</v>
      </c>
      <c r="J158" s="1" t="s">
        <v>35</v>
      </c>
      <c r="K158" s="1" t="s">
        <v>36</v>
      </c>
      <c r="L158" s="1" t="s">
        <v>72</v>
      </c>
      <c r="M158" s="1" t="s">
        <v>36</v>
      </c>
      <c r="N158" s="1" t="s">
        <v>602</v>
      </c>
    </row>
    <row r="159" spans="1:14" x14ac:dyDescent="0.3">
      <c r="A159" s="1" t="s">
        <v>603</v>
      </c>
      <c r="B159" s="1" t="s">
        <v>604</v>
      </c>
      <c r="C159" s="1" t="s">
        <v>605</v>
      </c>
      <c r="D159" s="1" t="s">
        <v>146</v>
      </c>
      <c r="E159" s="1" t="s">
        <v>278</v>
      </c>
      <c r="F159" s="1" t="s">
        <v>32</v>
      </c>
      <c r="G159" s="1" t="s">
        <v>20</v>
      </c>
      <c r="H159" s="1" t="s">
        <v>66</v>
      </c>
      <c r="I159" s="1" t="s">
        <v>22</v>
      </c>
      <c r="J159" s="1" t="s">
        <v>35</v>
      </c>
      <c r="K159" s="1" t="s">
        <v>36</v>
      </c>
      <c r="L159" s="1" t="s">
        <v>25</v>
      </c>
      <c r="M159" s="1" t="s">
        <v>36</v>
      </c>
      <c r="N159" s="1" t="s">
        <v>606</v>
      </c>
    </row>
    <row r="160" spans="1:14" x14ac:dyDescent="0.3">
      <c r="A160" s="1" t="s">
        <v>607</v>
      </c>
      <c r="B160" s="1" t="s">
        <v>608</v>
      </c>
      <c r="C160" s="1" t="s">
        <v>609</v>
      </c>
      <c r="D160" s="1" t="s">
        <v>610</v>
      </c>
      <c r="E160" s="1" t="s">
        <v>147</v>
      </c>
      <c r="F160" s="1" t="s">
        <v>25</v>
      </c>
      <c r="G160" s="1" t="s">
        <v>20</v>
      </c>
      <c r="H160" s="1" t="s">
        <v>33</v>
      </c>
      <c r="I160" s="1" t="s">
        <v>22</v>
      </c>
      <c r="J160" s="1" t="s">
        <v>35</v>
      </c>
      <c r="K160" s="1" t="s">
        <v>24</v>
      </c>
      <c r="L160" s="1" t="s">
        <v>72</v>
      </c>
      <c r="M160" s="1" t="s">
        <v>611</v>
      </c>
      <c r="N160" s="1" t="s">
        <v>87</v>
      </c>
    </row>
    <row r="161" spans="1:14" x14ac:dyDescent="0.3">
      <c r="A161" s="1" t="s">
        <v>612</v>
      </c>
      <c r="B161" s="1" t="s">
        <v>263</v>
      </c>
      <c r="C161" s="1" t="s">
        <v>613</v>
      </c>
      <c r="D161" s="1" t="s">
        <v>146</v>
      </c>
      <c r="E161" s="1" t="s">
        <v>71</v>
      </c>
      <c r="F161" s="1" t="s">
        <v>32</v>
      </c>
      <c r="G161" s="1" t="s">
        <v>20</v>
      </c>
      <c r="H161" s="1" t="s">
        <v>66</v>
      </c>
      <c r="I161" s="1" t="s">
        <v>22</v>
      </c>
      <c r="J161" s="1" t="s">
        <v>35</v>
      </c>
      <c r="K161" s="1" t="s">
        <v>36</v>
      </c>
      <c r="L161" s="1" t="s">
        <v>449</v>
      </c>
      <c r="M161" s="1" t="s">
        <v>36</v>
      </c>
      <c r="N161" s="1" t="s">
        <v>38</v>
      </c>
    </row>
    <row r="162" spans="1:14" x14ac:dyDescent="0.3">
      <c r="A162" s="1" t="s">
        <v>614</v>
      </c>
      <c r="B162" s="1" t="s">
        <v>615</v>
      </c>
      <c r="C162" s="1" t="s">
        <v>29</v>
      </c>
      <c r="D162" s="1" t="s">
        <v>116</v>
      </c>
      <c r="E162" s="1" t="s">
        <v>31</v>
      </c>
      <c r="F162" s="1" t="s">
        <v>32</v>
      </c>
      <c r="G162" s="1" t="s">
        <v>20</v>
      </c>
      <c r="H162" s="1" t="s">
        <v>33</v>
      </c>
      <c r="I162" s="1" t="s">
        <v>34</v>
      </c>
      <c r="J162" s="1" t="s">
        <v>35</v>
      </c>
      <c r="K162" s="1" t="s">
        <v>36</v>
      </c>
      <c r="L162" s="1" t="s">
        <v>25</v>
      </c>
      <c r="M162" s="1" t="s">
        <v>36</v>
      </c>
      <c r="N162" s="1" t="s">
        <v>38</v>
      </c>
    </row>
    <row r="163" spans="1:14" x14ac:dyDescent="0.3">
      <c r="A163" s="1" t="s">
        <v>616</v>
      </c>
      <c r="B163" s="1" t="s">
        <v>617</v>
      </c>
      <c r="C163" s="1" t="s">
        <v>47</v>
      </c>
      <c r="D163" s="1" t="s">
        <v>116</v>
      </c>
      <c r="E163" s="1" t="s">
        <v>56</v>
      </c>
      <c r="F163" s="1" t="s">
        <v>32</v>
      </c>
      <c r="G163" s="1" t="s">
        <v>20</v>
      </c>
      <c r="H163" s="1" t="s">
        <v>33</v>
      </c>
      <c r="I163" s="1" t="s">
        <v>34</v>
      </c>
      <c r="J163" s="1" t="s">
        <v>50</v>
      </c>
      <c r="K163" s="1" t="s">
        <v>24</v>
      </c>
      <c r="L163" s="1" t="s">
        <v>25</v>
      </c>
      <c r="M163" s="1" t="s">
        <v>36</v>
      </c>
      <c r="N163" s="1" t="s">
        <v>158</v>
      </c>
    </row>
    <row r="164" spans="1:14" x14ac:dyDescent="0.3">
      <c r="A164" s="1" t="s">
        <v>618</v>
      </c>
      <c r="B164" s="1" t="s">
        <v>619</v>
      </c>
      <c r="C164" s="1" t="s">
        <v>590</v>
      </c>
      <c r="D164" s="1" t="s">
        <v>170</v>
      </c>
      <c r="E164" s="1" t="s">
        <v>455</v>
      </c>
      <c r="F164" s="1" t="s">
        <v>32</v>
      </c>
      <c r="G164" s="1" t="s">
        <v>20</v>
      </c>
      <c r="H164" s="1" t="s">
        <v>33</v>
      </c>
      <c r="I164" s="1" t="s">
        <v>34</v>
      </c>
      <c r="J164" s="1" t="s">
        <v>35</v>
      </c>
      <c r="K164" s="1" t="s">
        <v>36</v>
      </c>
      <c r="L164" s="1" t="s">
        <v>25</v>
      </c>
      <c r="M164" s="1" t="s">
        <v>36</v>
      </c>
      <c r="N164" s="1" t="s">
        <v>57</v>
      </c>
    </row>
    <row r="165" spans="1:14" x14ac:dyDescent="0.3">
      <c r="A165" s="1" t="s">
        <v>620</v>
      </c>
      <c r="B165" s="1" t="s">
        <v>621</v>
      </c>
      <c r="C165" s="1" t="s">
        <v>16</v>
      </c>
      <c r="D165" s="1" t="s">
        <v>116</v>
      </c>
      <c r="E165" s="1" t="s">
        <v>65</v>
      </c>
      <c r="F165" s="1" t="s">
        <v>32</v>
      </c>
      <c r="G165" s="1" t="s">
        <v>20</v>
      </c>
      <c r="H165" s="1" t="s">
        <v>43</v>
      </c>
      <c r="I165" s="1" t="s">
        <v>34</v>
      </c>
      <c r="J165" s="1" t="s">
        <v>35</v>
      </c>
      <c r="K165" s="1" t="s">
        <v>24</v>
      </c>
      <c r="L165" s="1" t="s">
        <v>449</v>
      </c>
      <c r="M165" s="1" t="s">
        <v>36</v>
      </c>
      <c r="N165" s="1" t="s">
        <v>622</v>
      </c>
    </row>
    <row r="166" spans="1:14" x14ac:dyDescent="0.3">
      <c r="A166" s="1" t="s">
        <v>623</v>
      </c>
      <c r="B166" s="1" t="s">
        <v>624</v>
      </c>
      <c r="C166" s="1" t="s">
        <v>16</v>
      </c>
      <c r="D166" s="1" t="s">
        <v>170</v>
      </c>
      <c r="E166" s="1" t="s">
        <v>77</v>
      </c>
      <c r="F166" s="1" t="s">
        <v>32</v>
      </c>
      <c r="G166" s="1" t="s">
        <v>20</v>
      </c>
      <c r="H166" s="1" t="s">
        <v>43</v>
      </c>
      <c r="I166" s="1" t="s">
        <v>34</v>
      </c>
      <c r="J166" s="1" t="s">
        <v>35</v>
      </c>
      <c r="K166" s="1" t="s">
        <v>24</v>
      </c>
      <c r="L166" s="1" t="s">
        <v>25</v>
      </c>
      <c r="M166" s="1" t="s">
        <v>36</v>
      </c>
      <c r="N166" s="1" t="s">
        <v>252</v>
      </c>
    </row>
    <row r="167" spans="1:14" x14ac:dyDescent="0.3">
      <c r="A167" s="1" t="s">
        <v>625</v>
      </c>
      <c r="B167" s="1" t="s">
        <v>626</v>
      </c>
      <c r="C167" s="1" t="s">
        <v>627</v>
      </c>
      <c r="D167" s="1" t="s">
        <v>393</v>
      </c>
      <c r="E167" s="1" t="s">
        <v>455</v>
      </c>
      <c r="F167" s="1" t="s">
        <v>19</v>
      </c>
      <c r="G167" s="1" t="s">
        <v>20</v>
      </c>
      <c r="H167" s="1" t="s">
        <v>43</v>
      </c>
      <c r="I167" s="1" t="s">
        <v>34</v>
      </c>
      <c r="J167" s="1" t="s">
        <v>50</v>
      </c>
      <c r="K167" s="1" t="s">
        <v>24</v>
      </c>
      <c r="L167" s="1" t="s">
        <v>628</v>
      </c>
      <c r="M167" s="1" t="s">
        <v>36</v>
      </c>
      <c r="N167" s="1" t="s">
        <v>158</v>
      </c>
    </row>
    <row r="168" spans="1:14" x14ac:dyDescent="0.3">
      <c r="A168" s="1" t="s">
        <v>629</v>
      </c>
      <c r="B168" s="1" t="s">
        <v>630</v>
      </c>
      <c r="C168" s="1" t="s">
        <v>631</v>
      </c>
      <c r="D168" s="1" t="s">
        <v>84</v>
      </c>
      <c r="E168" s="1" t="s">
        <v>632</v>
      </c>
      <c r="F168" s="1" t="s">
        <v>32</v>
      </c>
      <c r="G168" s="1" t="s">
        <v>20</v>
      </c>
      <c r="H168" s="1" t="s">
        <v>243</v>
      </c>
      <c r="I168" s="1" t="s">
        <v>211</v>
      </c>
      <c r="J168" s="1" t="s">
        <v>23</v>
      </c>
      <c r="K168" s="1" t="s">
        <v>24</v>
      </c>
      <c r="L168" s="1" t="s">
        <v>25</v>
      </c>
      <c r="M168" s="1" t="s">
        <v>24</v>
      </c>
      <c r="N168" s="1" t="s">
        <v>106</v>
      </c>
    </row>
    <row r="169" spans="1:14" x14ac:dyDescent="0.3">
      <c r="A169" s="1" t="s">
        <v>633</v>
      </c>
      <c r="B169" s="1" t="s">
        <v>634</v>
      </c>
      <c r="C169" s="1" t="s">
        <v>47</v>
      </c>
      <c r="D169" s="1" t="s">
        <v>635</v>
      </c>
      <c r="E169" s="1" t="s">
        <v>570</v>
      </c>
      <c r="F169" s="1" t="s">
        <v>19</v>
      </c>
      <c r="G169" s="1" t="s">
        <v>20</v>
      </c>
      <c r="H169" s="1" t="s">
        <v>33</v>
      </c>
      <c r="I169" s="1" t="s">
        <v>22</v>
      </c>
      <c r="J169" s="1" t="s">
        <v>35</v>
      </c>
      <c r="K169" s="1" t="s">
        <v>36</v>
      </c>
      <c r="L169" s="1" t="s">
        <v>25</v>
      </c>
      <c r="M169" s="1" t="s">
        <v>36</v>
      </c>
      <c r="N169" s="1" t="s">
        <v>636</v>
      </c>
    </row>
    <row r="170" spans="1:14" x14ac:dyDescent="0.3">
      <c r="A170" s="1" t="s">
        <v>637</v>
      </c>
      <c r="B170" s="1" t="s">
        <v>325</v>
      </c>
      <c r="C170" s="1" t="s">
        <v>16</v>
      </c>
      <c r="D170" s="1" t="s">
        <v>335</v>
      </c>
      <c r="E170" s="1" t="s">
        <v>77</v>
      </c>
      <c r="F170" s="1" t="s">
        <v>32</v>
      </c>
      <c r="G170" s="1" t="s">
        <v>20</v>
      </c>
      <c r="H170" s="1" t="s">
        <v>33</v>
      </c>
      <c r="I170" s="1" t="s">
        <v>22</v>
      </c>
      <c r="J170" s="1" t="s">
        <v>326</v>
      </c>
      <c r="K170" s="1" t="s">
        <v>36</v>
      </c>
      <c r="L170" s="1" t="s">
        <v>72</v>
      </c>
      <c r="M170" s="1" t="s">
        <v>638</v>
      </c>
      <c r="N170" s="1" t="s">
        <v>73</v>
      </c>
    </row>
    <row r="171" spans="1:14" x14ac:dyDescent="0.3">
      <c r="A171" s="1" t="s">
        <v>639</v>
      </c>
      <c r="B171" s="1" t="s">
        <v>640</v>
      </c>
      <c r="C171" s="1" t="s">
        <v>29</v>
      </c>
      <c r="D171" s="1" t="s">
        <v>64</v>
      </c>
      <c r="E171" s="1" t="s">
        <v>60</v>
      </c>
      <c r="F171" s="1" t="s">
        <v>32</v>
      </c>
      <c r="G171" s="1" t="s">
        <v>20</v>
      </c>
      <c r="H171" s="1" t="s">
        <v>66</v>
      </c>
      <c r="I171" s="1" t="s">
        <v>34</v>
      </c>
      <c r="J171" s="1" t="s">
        <v>35</v>
      </c>
      <c r="K171" s="1" t="s">
        <v>36</v>
      </c>
      <c r="L171" s="1" t="s">
        <v>25</v>
      </c>
      <c r="M171" s="1" t="s">
        <v>36</v>
      </c>
      <c r="N171" s="1" t="s">
        <v>38</v>
      </c>
    </row>
    <row r="172" spans="1:14" x14ac:dyDescent="0.3">
      <c r="A172" s="1" t="s">
        <v>641</v>
      </c>
      <c r="B172" s="1" t="s">
        <v>642</v>
      </c>
      <c r="C172" s="1" t="s">
        <v>16</v>
      </c>
      <c r="D172" s="1" t="s">
        <v>537</v>
      </c>
      <c r="E172" s="1" t="s">
        <v>65</v>
      </c>
      <c r="F172" s="1" t="s">
        <v>19</v>
      </c>
      <c r="G172" s="1" t="s">
        <v>20</v>
      </c>
      <c r="H172" s="1" t="s">
        <v>33</v>
      </c>
      <c r="I172" s="1" t="s">
        <v>22</v>
      </c>
      <c r="J172" s="1" t="s">
        <v>35</v>
      </c>
      <c r="K172" s="1" t="s">
        <v>24</v>
      </c>
      <c r="L172" s="1" t="s">
        <v>72</v>
      </c>
      <c r="M172" s="1" t="s">
        <v>183</v>
      </c>
      <c r="N172" s="1" t="s">
        <v>73</v>
      </c>
    </row>
    <row r="173" spans="1:14" x14ac:dyDescent="0.3">
      <c r="A173" s="1" t="s">
        <v>643</v>
      </c>
      <c r="B173" s="1" t="s">
        <v>470</v>
      </c>
      <c r="C173" s="1" t="s">
        <v>16</v>
      </c>
      <c r="D173" s="1" t="s">
        <v>146</v>
      </c>
      <c r="E173" s="1" t="s">
        <v>206</v>
      </c>
      <c r="F173" s="1" t="s">
        <v>19</v>
      </c>
      <c r="G173" s="1" t="s">
        <v>20</v>
      </c>
      <c r="H173" s="1" t="s">
        <v>33</v>
      </c>
      <c r="I173" s="1" t="s">
        <v>34</v>
      </c>
      <c r="J173" s="1" t="s">
        <v>35</v>
      </c>
      <c r="K173" s="1" t="s">
        <v>36</v>
      </c>
      <c r="L173" s="1" t="s">
        <v>25</v>
      </c>
      <c r="M173" s="1" t="s">
        <v>36</v>
      </c>
      <c r="N173" s="1" t="s">
        <v>38</v>
      </c>
    </row>
    <row r="174" spans="1:14" x14ac:dyDescent="0.3">
      <c r="A174" s="1" t="s">
        <v>644</v>
      </c>
      <c r="B174" s="1" t="s">
        <v>645</v>
      </c>
      <c r="C174" s="1" t="s">
        <v>646</v>
      </c>
      <c r="D174" s="1" t="s">
        <v>647</v>
      </c>
      <c r="E174" s="1" t="s">
        <v>278</v>
      </c>
      <c r="F174" s="1" t="s">
        <v>32</v>
      </c>
      <c r="G174" s="1" t="s">
        <v>20</v>
      </c>
      <c r="H174" s="1" t="s">
        <v>105</v>
      </c>
      <c r="I174" s="1" t="s">
        <v>22</v>
      </c>
      <c r="J174" s="1" t="s">
        <v>35</v>
      </c>
      <c r="K174" s="1" t="s">
        <v>36</v>
      </c>
      <c r="L174" s="1" t="s">
        <v>179</v>
      </c>
      <c r="M174" s="1" t="s">
        <v>36</v>
      </c>
      <c r="N174" s="1" t="s">
        <v>180</v>
      </c>
    </row>
    <row r="175" spans="1:14" x14ac:dyDescent="0.3">
      <c r="A175" s="1" t="s">
        <v>648</v>
      </c>
      <c r="B175" s="1" t="s">
        <v>649</v>
      </c>
      <c r="C175" s="1" t="s">
        <v>650</v>
      </c>
      <c r="D175" s="1" t="s">
        <v>157</v>
      </c>
      <c r="E175" s="1" t="s">
        <v>270</v>
      </c>
      <c r="F175" s="1" t="s">
        <v>32</v>
      </c>
      <c r="G175" s="1" t="s">
        <v>20</v>
      </c>
      <c r="H175" s="1" t="s">
        <v>43</v>
      </c>
      <c r="I175" s="1" t="s">
        <v>22</v>
      </c>
      <c r="J175" s="1" t="s">
        <v>35</v>
      </c>
      <c r="K175" s="1" t="s">
        <v>24</v>
      </c>
      <c r="L175" s="1" t="s">
        <v>25</v>
      </c>
      <c r="M175" s="1" t="s">
        <v>36</v>
      </c>
      <c r="N175" s="1" t="s">
        <v>380</v>
      </c>
    </row>
    <row r="176" spans="1:14" x14ac:dyDescent="0.3">
      <c r="A176" s="1" t="s">
        <v>651</v>
      </c>
      <c r="B176" s="1" t="s">
        <v>652</v>
      </c>
      <c r="C176" s="1" t="s">
        <v>16</v>
      </c>
      <c r="D176" s="1" t="s">
        <v>653</v>
      </c>
      <c r="E176" s="1" t="s">
        <v>522</v>
      </c>
      <c r="F176" s="1" t="s">
        <v>19</v>
      </c>
      <c r="G176" s="1" t="s">
        <v>20</v>
      </c>
      <c r="H176" s="1" t="s">
        <v>98</v>
      </c>
      <c r="I176" s="1" t="s">
        <v>34</v>
      </c>
      <c r="J176" s="1" t="s">
        <v>35</v>
      </c>
      <c r="K176" s="1" t="s">
        <v>24</v>
      </c>
      <c r="L176" s="1" t="s">
        <v>166</v>
      </c>
      <c r="M176" s="1" t="s">
        <v>24</v>
      </c>
      <c r="N176" s="1" t="s">
        <v>654</v>
      </c>
    </row>
    <row r="177" spans="1:14" x14ac:dyDescent="0.3">
      <c r="A177" s="1" t="s">
        <v>655</v>
      </c>
      <c r="B177" s="1" t="s">
        <v>656</v>
      </c>
      <c r="C177" s="1" t="s">
        <v>657</v>
      </c>
      <c r="D177" s="1" t="s">
        <v>335</v>
      </c>
      <c r="E177" s="1" t="s">
        <v>110</v>
      </c>
      <c r="F177" s="1" t="s">
        <v>32</v>
      </c>
      <c r="G177" s="1" t="s">
        <v>20</v>
      </c>
      <c r="H177" s="1" t="s">
        <v>43</v>
      </c>
      <c r="I177" s="1" t="s">
        <v>34</v>
      </c>
      <c r="J177" s="1" t="s">
        <v>35</v>
      </c>
      <c r="K177" s="1" t="s">
        <v>36</v>
      </c>
      <c r="L177" s="1" t="s">
        <v>154</v>
      </c>
      <c r="M177" s="1" t="s">
        <v>36</v>
      </c>
      <c r="N177" s="1" t="s">
        <v>550</v>
      </c>
    </row>
    <row r="178" spans="1:14" x14ac:dyDescent="0.3">
      <c r="A178" s="1" t="s">
        <v>658</v>
      </c>
      <c r="B178" s="1" t="s">
        <v>659</v>
      </c>
      <c r="C178" s="1" t="s">
        <v>47</v>
      </c>
      <c r="D178" s="1" t="s">
        <v>660</v>
      </c>
      <c r="E178" s="1" t="s">
        <v>194</v>
      </c>
      <c r="F178" s="1" t="s">
        <v>32</v>
      </c>
      <c r="G178" s="1" t="s">
        <v>20</v>
      </c>
      <c r="H178" s="1" t="s">
        <v>243</v>
      </c>
      <c r="I178" s="1" t="s">
        <v>34</v>
      </c>
      <c r="J178" s="1" t="s">
        <v>50</v>
      </c>
      <c r="K178" s="1" t="s">
        <v>24</v>
      </c>
      <c r="L178" s="1" t="s">
        <v>25</v>
      </c>
      <c r="M178" s="1" t="s">
        <v>24</v>
      </c>
      <c r="N178" s="1" t="s">
        <v>440</v>
      </c>
    </row>
    <row r="179" spans="1:14" x14ac:dyDescent="0.3">
      <c r="A179" s="1" t="s">
        <v>661</v>
      </c>
      <c r="B179" s="1" t="s">
        <v>662</v>
      </c>
      <c r="C179" s="1" t="s">
        <v>568</v>
      </c>
      <c r="D179" s="1" t="s">
        <v>458</v>
      </c>
      <c r="E179" s="1" t="s">
        <v>165</v>
      </c>
      <c r="F179" s="1" t="s">
        <v>32</v>
      </c>
      <c r="G179" s="1" t="s">
        <v>20</v>
      </c>
      <c r="H179" s="1" t="s">
        <v>21</v>
      </c>
      <c r="I179" s="1" t="s">
        <v>34</v>
      </c>
      <c r="J179" s="1" t="s">
        <v>35</v>
      </c>
      <c r="K179" s="1" t="s">
        <v>36</v>
      </c>
      <c r="L179" s="1" t="s">
        <v>25</v>
      </c>
      <c r="M179" s="1" t="s">
        <v>36</v>
      </c>
      <c r="N179" s="1" t="s">
        <v>227</v>
      </c>
    </row>
    <row r="180" spans="1:14" x14ac:dyDescent="0.3">
      <c r="A180" s="1" t="s">
        <v>663</v>
      </c>
      <c r="B180" s="1" t="s">
        <v>664</v>
      </c>
      <c r="C180" s="1" t="s">
        <v>665</v>
      </c>
      <c r="D180" s="1" t="s">
        <v>109</v>
      </c>
      <c r="E180" s="1" t="s">
        <v>175</v>
      </c>
      <c r="F180" s="1" t="s">
        <v>32</v>
      </c>
      <c r="G180" s="1" t="s">
        <v>20</v>
      </c>
      <c r="H180" s="1" t="s">
        <v>135</v>
      </c>
      <c r="I180" s="1" t="s">
        <v>22</v>
      </c>
      <c r="J180" s="1" t="s">
        <v>23</v>
      </c>
      <c r="K180" s="1" t="s">
        <v>24</v>
      </c>
      <c r="L180" s="1" t="s">
        <v>72</v>
      </c>
      <c r="M180" s="1" t="s">
        <v>36</v>
      </c>
      <c r="N180" s="1" t="s">
        <v>666</v>
      </c>
    </row>
    <row r="181" spans="1:14" x14ac:dyDescent="0.3">
      <c r="A181" s="1" t="s">
        <v>667</v>
      </c>
      <c r="B181" s="1" t="s">
        <v>668</v>
      </c>
      <c r="C181" s="1" t="s">
        <v>29</v>
      </c>
      <c r="D181" s="1" t="s">
        <v>537</v>
      </c>
      <c r="E181" s="1" t="s">
        <v>31</v>
      </c>
      <c r="F181" s="1" t="s">
        <v>32</v>
      </c>
      <c r="G181" s="1" t="s">
        <v>20</v>
      </c>
      <c r="H181" s="1" t="s">
        <v>43</v>
      </c>
      <c r="I181" s="1" t="s">
        <v>22</v>
      </c>
      <c r="J181" s="1" t="s">
        <v>35</v>
      </c>
      <c r="K181" s="1" t="s">
        <v>36</v>
      </c>
      <c r="L181" s="1" t="s">
        <v>25</v>
      </c>
      <c r="M181" s="1" t="s">
        <v>36</v>
      </c>
      <c r="N181" s="1" t="s">
        <v>669</v>
      </c>
    </row>
    <row r="182" spans="1:14" x14ac:dyDescent="0.3">
      <c r="A182" s="1" t="s">
        <v>670</v>
      </c>
      <c r="B182" s="1" t="s">
        <v>671</v>
      </c>
      <c r="C182" s="1" t="s">
        <v>84</v>
      </c>
      <c r="D182" s="1" t="s">
        <v>116</v>
      </c>
      <c r="E182" s="1" t="s">
        <v>522</v>
      </c>
      <c r="F182" s="1" t="s">
        <v>32</v>
      </c>
      <c r="G182" s="1" t="s">
        <v>20</v>
      </c>
      <c r="H182" s="1" t="s">
        <v>43</v>
      </c>
      <c r="I182" s="1" t="s">
        <v>22</v>
      </c>
      <c r="J182" s="1" t="s">
        <v>50</v>
      </c>
      <c r="K182" s="1" t="s">
        <v>24</v>
      </c>
      <c r="L182" s="1" t="s">
        <v>72</v>
      </c>
      <c r="M182" s="1" t="s">
        <v>36</v>
      </c>
      <c r="N182" s="1" t="s">
        <v>73</v>
      </c>
    </row>
    <row r="183" spans="1:14" x14ac:dyDescent="0.3">
      <c r="A183" s="1" t="s">
        <v>672</v>
      </c>
      <c r="B183" s="1" t="s">
        <v>673</v>
      </c>
      <c r="C183" s="1" t="s">
        <v>16</v>
      </c>
      <c r="D183" s="1" t="s">
        <v>116</v>
      </c>
      <c r="E183" s="1" t="s">
        <v>65</v>
      </c>
      <c r="F183" s="1" t="s">
        <v>32</v>
      </c>
      <c r="G183" s="1" t="s">
        <v>20</v>
      </c>
      <c r="H183" s="1" t="s">
        <v>135</v>
      </c>
      <c r="I183" s="1" t="s">
        <v>22</v>
      </c>
      <c r="J183" s="1" t="s">
        <v>50</v>
      </c>
      <c r="K183" s="1" t="s">
        <v>36</v>
      </c>
      <c r="L183" s="1" t="s">
        <v>25</v>
      </c>
      <c r="M183" s="1" t="s">
        <v>36</v>
      </c>
      <c r="N183" s="1" t="s">
        <v>112</v>
      </c>
    </row>
    <row r="184" spans="1:14" x14ac:dyDescent="0.3">
      <c r="A184" s="1" t="s">
        <v>674</v>
      </c>
      <c r="B184" s="1" t="s">
        <v>675</v>
      </c>
      <c r="C184" s="1" t="s">
        <v>501</v>
      </c>
      <c r="D184" s="1" t="s">
        <v>416</v>
      </c>
      <c r="E184" s="1" t="s">
        <v>502</v>
      </c>
      <c r="F184" s="1" t="s">
        <v>32</v>
      </c>
      <c r="G184" s="1" t="s">
        <v>20</v>
      </c>
      <c r="H184" s="1" t="s">
        <v>43</v>
      </c>
      <c r="I184" s="1" t="s">
        <v>22</v>
      </c>
      <c r="J184" s="1" t="s">
        <v>35</v>
      </c>
      <c r="K184" s="1" t="s">
        <v>36</v>
      </c>
      <c r="L184" s="1" t="s">
        <v>25</v>
      </c>
      <c r="M184" s="1" t="s">
        <v>36</v>
      </c>
      <c r="N184" s="1" t="s">
        <v>503</v>
      </c>
    </row>
    <row r="185" spans="1:14" x14ac:dyDescent="0.3">
      <c r="A185" s="1" t="s">
        <v>676</v>
      </c>
      <c r="B185" s="1" t="s">
        <v>160</v>
      </c>
      <c r="C185" s="1" t="s">
        <v>29</v>
      </c>
      <c r="D185" s="1" t="s">
        <v>64</v>
      </c>
      <c r="E185" s="1" t="s">
        <v>60</v>
      </c>
      <c r="F185" s="1" t="s">
        <v>32</v>
      </c>
      <c r="G185" s="1" t="s">
        <v>20</v>
      </c>
      <c r="H185" s="1" t="s">
        <v>43</v>
      </c>
      <c r="I185" s="1" t="s">
        <v>34</v>
      </c>
      <c r="J185" s="1" t="s">
        <v>35</v>
      </c>
      <c r="K185" s="1" t="s">
        <v>36</v>
      </c>
      <c r="L185" s="1" t="s">
        <v>25</v>
      </c>
      <c r="M185" s="1" t="s">
        <v>36</v>
      </c>
      <c r="N185" s="1" t="s">
        <v>38</v>
      </c>
    </row>
    <row r="186" spans="1:14" x14ac:dyDescent="0.3">
      <c r="A186" s="1" t="s">
        <v>677</v>
      </c>
      <c r="B186" s="1" t="s">
        <v>678</v>
      </c>
      <c r="C186" s="1" t="s">
        <v>115</v>
      </c>
      <c r="D186" s="1" t="s">
        <v>419</v>
      </c>
      <c r="E186" s="1" t="s">
        <v>31</v>
      </c>
      <c r="F186" s="1" t="s">
        <v>19</v>
      </c>
      <c r="G186" s="1" t="s">
        <v>20</v>
      </c>
      <c r="H186" s="1" t="s">
        <v>105</v>
      </c>
      <c r="I186" s="1" t="s">
        <v>211</v>
      </c>
      <c r="J186" s="1" t="s">
        <v>23</v>
      </c>
      <c r="K186" s="1" t="s">
        <v>36</v>
      </c>
      <c r="L186" s="1" t="s">
        <v>411</v>
      </c>
      <c r="M186" s="1" t="s">
        <v>36</v>
      </c>
      <c r="N186" s="1" t="s">
        <v>679</v>
      </c>
    </row>
    <row r="187" spans="1:14" x14ac:dyDescent="0.3">
      <c r="A187" s="1" t="s">
        <v>680</v>
      </c>
      <c r="B187" s="1" t="s">
        <v>681</v>
      </c>
      <c r="C187" s="1" t="s">
        <v>84</v>
      </c>
      <c r="D187" s="1" t="s">
        <v>70</v>
      </c>
      <c r="E187" s="1" t="s">
        <v>682</v>
      </c>
      <c r="F187" s="1" t="s">
        <v>32</v>
      </c>
      <c r="G187" s="1" t="s">
        <v>20</v>
      </c>
      <c r="H187" s="1" t="s">
        <v>66</v>
      </c>
      <c r="I187" s="1" t="s">
        <v>22</v>
      </c>
      <c r="J187" s="1" t="s">
        <v>35</v>
      </c>
      <c r="K187" s="1" t="s">
        <v>24</v>
      </c>
      <c r="L187" s="1" t="s">
        <v>72</v>
      </c>
      <c r="M187" s="1" t="s">
        <v>36</v>
      </c>
      <c r="N187" s="1" t="s">
        <v>666</v>
      </c>
    </row>
    <row r="188" spans="1:14" x14ac:dyDescent="0.3">
      <c r="A188" s="1" t="s">
        <v>683</v>
      </c>
      <c r="B188" s="1" t="s">
        <v>684</v>
      </c>
      <c r="C188" s="1" t="s">
        <v>685</v>
      </c>
      <c r="D188" s="1" t="s">
        <v>29</v>
      </c>
      <c r="E188" s="1" t="s">
        <v>147</v>
      </c>
      <c r="F188" s="1" t="s">
        <v>32</v>
      </c>
      <c r="G188" s="1" t="s">
        <v>20</v>
      </c>
      <c r="H188" s="1" t="s">
        <v>105</v>
      </c>
      <c r="I188" s="1" t="s">
        <v>34</v>
      </c>
      <c r="J188" s="1" t="s">
        <v>23</v>
      </c>
      <c r="K188" s="1" t="s">
        <v>36</v>
      </c>
      <c r="L188" s="1" t="s">
        <v>25</v>
      </c>
      <c r="M188" s="1" t="s">
        <v>24</v>
      </c>
      <c r="N188" s="1" t="s">
        <v>106</v>
      </c>
    </row>
    <row r="189" spans="1:14" x14ac:dyDescent="0.3">
      <c r="A189" s="1" t="s">
        <v>686</v>
      </c>
      <c r="B189" s="1" t="s">
        <v>687</v>
      </c>
      <c r="C189" s="1" t="s">
        <v>126</v>
      </c>
      <c r="D189" s="1" t="s">
        <v>458</v>
      </c>
      <c r="E189" s="1" t="s">
        <v>97</v>
      </c>
      <c r="F189" s="1" t="s">
        <v>32</v>
      </c>
      <c r="G189" s="1" t="s">
        <v>20</v>
      </c>
      <c r="H189" s="1" t="s">
        <v>43</v>
      </c>
      <c r="I189" s="1" t="s">
        <v>34</v>
      </c>
      <c r="J189" s="1" t="s">
        <v>23</v>
      </c>
      <c r="K189" s="1" t="s">
        <v>24</v>
      </c>
      <c r="L189" s="1" t="s">
        <v>25</v>
      </c>
      <c r="M189" s="1" t="s">
        <v>36</v>
      </c>
      <c r="N189" s="1" t="s">
        <v>688</v>
      </c>
    </row>
    <row r="190" spans="1:14" x14ac:dyDescent="0.3">
      <c r="A190" s="1" t="s">
        <v>689</v>
      </c>
      <c r="B190" s="1" t="s">
        <v>690</v>
      </c>
      <c r="C190" s="1" t="s">
        <v>16</v>
      </c>
      <c r="D190" s="1" t="s">
        <v>152</v>
      </c>
      <c r="E190" s="1" t="s">
        <v>71</v>
      </c>
      <c r="F190" s="1" t="s">
        <v>32</v>
      </c>
      <c r="G190" s="1" t="s">
        <v>20</v>
      </c>
      <c r="H190" s="1" t="s">
        <v>33</v>
      </c>
      <c r="I190" s="1" t="s">
        <v>34</v>
      </c>
      <c r="J190" s="1" t="s">
        <v>50</v>
      </c>
      <c r="K190" s="1" t="s">
        <v>24</v>
      </c>
      <c r="L190" s="1" t="s">
        <v>25</v>
      </c>
      <c r="M190" s="1" t="s">
        <v>36</v>
      </c>
      <c r="N190" s="1" t="s">
        <v>158</v>
      </c>
    </row>
    <row r="191" spans="1:14" x14ac:dyDescent="0.3">
      <c r="A191" s="1" t="s">
        <v>691</v>
      </c>
      <c r="B191" s="1" t="s">
        <v>692</v>
      </c>
      <c r="C191" s="1" t="s">
        <v>501</v>
      </c>
      <c r="D191" s="1" t="s">
        <v>64</v>
      </c>
      <c r="E191" s="1" t="s">
        <v>693</v>
      </c>
      <c r="F191" s="1" t="s">
        <v>32</v>
      </c>
      <c r="G191" s="1" t="s">
        <v>20</v>
      </c>
      <c r="H191" s="1" t="s">
        <v>105</v>
      </c>
      <c r="I191" s="1" t="s">
        <v>34</v>
      </c>
      <c r="J191" s="1" t="s">
        <v>23</v>
      </c>
      <c r="K191" s="1" t="s">
        <v>36</v>
      </c>
      <c r="L191" s="1" t="s">
        <v>411</v>
      </c>
      <c r="M191" s="1" t="s">
        <v>24</v>
      </c>
      <c r="N191" s="1" t="s">
        <v>694</v>
      </c>
    </row>
    <row r="192" spans="1:14" x14ac:dyDescent="0.3">
      <c r="A192" s="1" t="s">
        <v>695</v>
      </c>
      <c r="B192" s="1" t="s">
        <v>696</v>
      </c>
      <c r="C192" s="1" t="s">
        <v>697</v>
      </c>
      <c r="D192" s="1" t="s">
        <v>205</v>
      </c>
      <c r="E192" s="1" t="s">
        <v>85</v>
      </c>
      <c r="F192" s="1" t="s">
        <v>32</v>
      </c>
      <c r="G192" s="1" t="s">
        <v>20</v>
      </c>
      <c r="H192" s="1" t="s">
        <v>98</v>
      </c>
      <c r="I192" s="1" t="s">
        <v>34</v>
      </c>
      <c r="J192" s="1" t="s">
        <v>23</v>
      </c>
      <c r="K192" s="1" t="s">
        <v>36</v>
      </c>
      <c r="L192" s="1" t="s">
        <v>25</v>
      </c>
      <c r="M192" s="1" t="s">
        <v>24</v>
      </c>
      <c r="N192" s="1" t="s">
        <v>698</v>
      </c>
    </row>
    <row r="193" spans="1:14" x14ac:dyDescent="0.3">
      <c r="A193" s="1" t="s">
        <v>699</v>
      </c>
      <c r="B193" s="1" t="s">
        <v>700</v>
      </c>
      <c r="C193" s="1" t="s">
        <v>701</v>
      </c>
      <c r="D193" s="1" t="s">
        <v>702</v>
      </c>
      <c r="E193" s="1" t="s">
        <v>42</v>
      </c>
      <c r="F193" s="1" t="s">
        <v>19</v>
      </c>
      <c r="G193" s="1" t="s">
        <v>20</v>
      </c>
      <c r="H193" s="1" t="s">
        <v>98</v>
      </c>
      <c r="I193" s="1" t="s">
        <v>22</v>
      </c>
      <c r="J193" s="1" t="s">
        <v>35</v>
      </c>
      <c r="K193" s="1" t="s">
        <v>36</v>
      </c>
      <c r="L193" s="1" t="s">
        <v>72</v>
      </c>
      <c r="M193" s="1" t="s">
        <v>24</v>
      </c>
      <c r="N193" s="1" t="s">
        <v>703</v>
      </c>
    </row>
    <row r="194" spans="1:14" x14ac:dyDescent="0.3">
      <c r="A194" s="1" t="s">
        <v>704</v>
      </c>
      <c r="B194" s="1" t="s">
        <v>705</v>
      </c>
      <c r="C194" s="1" t="s">
        <v>47</v>
      </c>
      <c r="D194" s="1" t="s">
        <v>116</v>
      </c>
      <c r="E194" s="1" t="s">
        <v>56</v>
      </c>
      <c r="F194" s="1" t="s">
        <v>19</v>
      </c>
      <c r="G194" s="1" t="s">
        <v>20</v>
      </c>
      <c r="H194" s="1" t="s">
        <v>33</v>
      </c>
      <c r="I194" s="1" t="s">
        <v>22</v>
      </c>
      <c r="J194" s="1" t="s">
        <v>50</v>
      </c>
      <c r="K194" s="1" t="s">
        <v>36</v>
      </c>
      <c r="L194" s="1" t="s">
        <v>25</v>
      </c>
      <c r="M194" s="1" t="s">
        <v>36</v>
      </c>
      <c r="N194" s="1" t="s">
        <v>289</v>
      </c>
    </row>
    <row r="195" spans="1:14" x14ac:dyDescent="0.3">
      <c r="A195" s="1" t="s">
        <v>706</v>
      </c>
      <c r="B195" s="1" t="s">
        <v>552</v>
      </c>
      <c r="C195" s="1" t="s">
        <v>29</v>
      </c>
      <c r="D195" s="1" t="s">
        <v>90</v>
      </c>
      <c r="E195" s="1" t="s">
        <v>31</v>
      </c>
      <c r="F195" s="1" t="s">
        <v>32</v>
      </c>
      <c r="G195" s="1" t="s">
        <v>20</v>
      </c>
      <c r="H195" s="1" t="s">
        <v>33</v>
      </c>
      <c r="I195" s="1" t="s">
        <v>34</v>
      </c>
      <c r="J195" s="1" t="s">
        <v>35</v>
      </c>
      <c r="K195" s="1" t="s">
        <v>36</v>
      </c>
      <c r="L195" s="1" t="s">
        <v>25</v>
      </c>
      <c r="M195" s="1" t="s">
        <v>36</v>
      </c>
      <c r="N195" s="1" t="s">
        <v>38</v>
      </c>
    </row>
    <row r="196" spans="1:14" x14ac:dyDescent="0.3">
      <c r="A196" s="1" t="s">
        <v>707</v>
      </c>
      <c r="B196" s="1" t="s">
        <v>708</v>
      </c>
      <c r="C196" s="1" t="s">
        <v>709</v>
      </c>
      <c r="D196" s="1" t="s">
        <v>537</v>
      </c>
      <c r="E196" s="1" t="s">
        <v>710</v>
      </c>
      <c r="F196" s="1" t="s">
        <v>32</v>
      </c>
      <c r="G196" s="1" t="s">
        <v>20</v>
      </c>
      <c r="H196" s="1" t="s">
        <v>105</v>
      </c>
      <c r="I196" s="1" t="s">
        <v>34</v>
      </c>
      <c r="J196" s="1" t="s">
        <v>23</v>
      </c>
      <c r="K196" s="1" t="s">
        <v>36</v>
      </c>
      <c r="L196" s="1" t="s">
        <v>411</v>
      </c>
      <c r="M196" s="1" t="s">
        <v>24</v>
      </c>
      <c r="N196" s="1" t="s">
        <v>711</v>
      </c>
    </row>
    <row r="197" spans="1:14" x14ac:dyDescent="0.3">
      <c r="A197" s="1" t="s">
        <v>712</v>
      </c>
      <c r="B197" s="1" t="s">
        <v>713</v>
      </c>
      <c r="C197" s="1" t="s">
        <v>47</v>
      </c>
      <c r="D197" s="1" t="s">
        <v>205</v>
      </c>
      <c r="E197" s="1" t="s">
        <v>56</v>
      </c>
      <c r="F197" s="1" t="s">
        <v>19</v>
      </c>
      <c r="G197" s="1" t="s">
        <v>20</v>
      </c>
      <c r="H197" s="1" t="s">
        <v>91</v>
      </c>
      <c r="I197" s="1" t="s">
        <v>34</v>
      </c>
      <c r="J197" s="1" t="s">
        <v>35</v>
      </c>
      <c r="K197" s="1" t="s">
        <v>24</v>
      </c>
      <c r="L197" s="1" t="s">
        <v>166</v>
      </c>
      <c r="M197" s="1" t="s">
        <v>36</v>
      </c>
      <c r="N197" s="1" t="s">
        <v>714</v>
      </c>
    </row>
    <row r="198" spans="1:14" x14ac:dyDescent="0.3">
      <c r="A198" s="1" t="s">
        <v>715</v>
      </c>
      <c r="B198" s="1" t="s">
        <v>716</v>
      </c>
      <c r="C198" s="1" t="s">
        <v>16</v>
      </c>
      <c r="D198" s="1" t="s">
        <v>90</v>
      </c>
      <c r="E198" s="1" t="s">
        <v>65</v>
      </c>
      <c r="F198" s="1" t="s">
        <v>32</v>
      </c>
      <c r="G198" s="1" t="s">
        <v>20</v>
      </c>
      <c r="H198" s="1" t="s">
        <v>33</v>
      </c>
      <c r="I198" s="1" t="s">
        <v>22</v>
      </c>
      <c r="J198" s="1" t="s">
        <v>50</v>
      </c>
      <c r="K198" s="1" t="s">
        <v>36</v>
      </c>
      <c r="L198" s="1" t="s">
        <v>72</v>
      </c>
      <c r="M198" s="1" t="s">
        <v>36</v>
      </c>
      <c r="N198" s="1" t="s">
        <v>300</v>
      </c>
    </row>
    <row r="199" spans="1:14" x14ac:dyDescent="0.3">
      <c r="A199" s="1" t="s">
        <v>717</v>
      </c>
      <c r="B199" s="1" t="s">
        <v>718</v>
      </c>
      <c r="C199" s="1" t="s">
        <v>174</v>
      </c>
      <c r="D199" s="1" t="s">
        <v>719</v>
      </c>
      <c r="E199" s="1" t="s">
        <v>134</v>
      </c>
      <c r="F199" s="1" t="s">
        <v>32</v>
      </c>
      <c r="G199" s="1" t="s">
        <v>20</v>
      </c>
      <c r="H199" s="1" t="s">
        <v>105</v>
      </c>
      <c r="I199" s="1" t="s">
        <v>34</v>
      </c>
      <c r="J199" s="1" t="s">
        <v>35</v>
      </c>
      <c r="K199" s="1" t="s">
        <v>36</v>
      </c>
      <c r="L199" s="1" t="s">
        <v>72</v>
      </c>
      <c r="M199" s="1" t="s">
        <v>36</v>
      </c>
      <c r="N199" s="1" t="s">
        <v>720</v>
      </c>
    </row>
    <row r="200" spans="1:14" x14ac:dyDescent="0.3">
      <c r="A200" s="1" t="s">
        <v>721</v>
      </c>
      <c r="B200" s="1" t="s">
        <v>722</v>
      </c>
      <c r="C200" s="1" t="s">
        <v>723</v>
      </c>
      <c r="D200" s="1" t="s">
        <v>241</v>
      </c>
      <c r="E200" s="1" t="s">
        <v>445</v>
      </c>
      <c r="F200" s="1" t="s">
        <v>32</v>
      </c>
      <c r="G200" s="1" t="s">
        <v>20</v>
      </c>
      <c r="H200" s="1" t="s">
        <v>322</v>
      </c>
      <c r="I200" s="1" t="s">
        <v>22</v>
      </c>
      <c r="J200" s="1" t="s">
        <v>35</v>
      </c>
      <c r="K200" s="1" t="s">
        <v>36</v>
      </c>
      <c r="L200" s="1" t="s">
        <v>72</v>
      </c>
      <c r="M200" s="1" t="s">
        <v>36</v>
      </c>
      <c r="N200" s="1" t="s">
        <v>724</v>
      </c>
    </row>
    <row r="201" spans="1:14" x14ac:dyDescent="0.3">
      <c r="A201" s="1" t="s">
        <v>725</v>
      </c>
      <c r="B201" s="1" t="s">
        <v>726</v>
      </c>
      <c r="C201" s="1" t="s">
        <v>126</v>
      </c>
      <c r="D201" s="1" t="s">
        <v>109</v>
      </c>
      <c r="E201" s="1" t="s">
        <v>56</v>
      </c>
      <c r="F201" s="1" t="s">
        <v>32</v>
      </c>
      <c r="G201" s="1" t="s">
        <v>20</v>
      </c>
      <c r="H201" s="1" t="s">
        <v>43</v>
      </c>
      <c r="I201" s="1" t="s">
        <v>22</v>
      </c>
      <c r="J201" s="1" t="s">
        <v>50</v>
      </c>
      <c r="K201" s="1" t="s">
        <v>24</v>
      </c>
      <c r="L201" s="1" t="s">
        <v>72</v>
      </c>
      <c r="M201" s="1" t="s">
        <v>36</v>
      </c>
      <c r="N201" s="1" t="s">
        <v>87</v>
      </c>
    </row>
    <row r="202" spans="1:14" x14ac:dyDescent="0.3">
      <c r="A202" s="1" t="s">
        <v>727</v>
      </c>
      <c r="B202" s="1" t="s">
        <v>728</v>
      </c>
      <c r="C202" s="1" t="s">
        <v>729</v>
      </c>
      <c r="D202" s="1" t="s">
        <v>30</v>
      </c>
      <c r="E202" s="1" t="s">
        <v>165</v>
      </c>
      <c r="F202" s="1" t="s">
        <v>32</v>
      </c>
      <c r="G202" s="1" t="s">
        <v>20</v>
      </c>
      <c r="H202" s="1" t="s">
        <v>135</v>
      </c>
      <c r="I202" s="1" t="s">
        <v>22</v>
      </c>
      <c r="J202" s="1" t="s">
        <v>50</v>
      </c>
      <c r="K202" s="1" t="s">
        <v>36</v>
      </c>
      <c r="L202" s="1" t="s">
        <v>25</v>
      </c>
      <c r="M202" s="1" t="s">
        <v>36</v>
      </c>
      <c r="N202" s="1" t="s">
        <v>216</v>
      </c>
    </row>
    <row r="203" spans="1:14" x14ac:dyDescent="0.3">
      <c r="A203" s="1" t="s">
        <v>730</v>
      </c>
      <c r="B203" s="1" t="s">
        <v>731</v>
      </c>
      <c r="C203" s="1" t="s">
        <v>732</v>
      </c>
      <c r="D203" s="1" t="s">
        <v>537</v>
      </c>
      <c r="E203" s="1" t="s">
        <v>506</v>
      </c>
      <c r="F203" s="1" t="s">
        <v>19</v>
      </c>
      <c r="G203" s="1" t="s">
        <v>20</v>
      </c>
      <c r="H203" s="1" t="s">
        <v>33</v>
      </c>
      <c r="I203" s="1" t="s">
        <v>34</v>
      </c>
      <c r="J203" s="1" t="s">
        <v>35</v>
      </c>
      <c r="K203" s="1" t="s">
        <v>36</v>
      </c>
      <c r="L203" s="1" t="s">
        <v>25</v>
      </c>
      <c r="M203" s="1" t="s">
        <v>36</v>
      </c>
      <c r="N203" s="1" t="s">
        <v>38</v>
      </c>
    </row>
    <row r="204" spans="1:14" x14ac:dyDescent="0.3">
      <c r="A204" s="1" t="s">
        <v>733</v>
      </c>
      <c r="B204" s="1" t="s">
        <v>734</v>
      </c>
      <c r="C204" s="1" t="s">
        <v>16</v>
      </c>
      <c r="D204" s="1" t="s">
        <v>595</v>
      </c>
      <c r="E204" s="1" t="s">
        <v>56</v>
      </c>
      <c r="F204" s="1" t="s">
        <v>32</v>
      </c>
      <c r="G204" s="1" t="s">
        <v>20</v>
      </c>
      <c r="H204" s="1" t="s">
        <v>43</v>
      </c>
      <c r="I204" s="1" t="s">
        <v>22</v>
      </c>
      <c r="J204" s="1" t="s">
        <v>35</v>
      </c>
      <c r="K204" s="1" t="s">
        <v>24</v>
      </c>
      <c r="L204" s="1" t="s">
        <v>25</v>
      </c>
      <c r="M204" s="1" t="s">
        <v>36</v>
      </c>
      <c r="N204" s="1" t="s">
        <v>735</v>
      </c>
    </row>
    <row r="205" spans="1:14" x14ac:dyDescent="0.3">
      <c r="A205" s="1" t="s">
        <v>736</v>
      </c>
      <c r="B205" s="1" t="s">
        <v>737</v>
      </c>
      <c r="C205" s="1" t="s">
        <v>174</v>
      </c>
      <c r="D205" s="1" t="s">
        <v>738</v>
      </c>
      <c r="E205" s="1" t="s">
        <v>739</v>
      </c>
      <c r="F205" s="1" t="s">
        <v>32</v>
      </c>
      <c r="G205" s="1" t="s">
        <v>20</v>
      </c>
      <c r="H205" s="1" t="s">
        <v>243</v>
      </c>
      <c r="I205" s="1" t="s">
        <v>34</v>
      </c>
      <c r="J205" s="1" t="s">
        <v>23</v>
      </c>
      <c r="K205" s="1" t="s">
        <v>24</v>
      </c>
      <c r="L205" s="1" t="s">
        <v>25</v>
      </c>
      <c r="M205" s="1" t="s">
        <v>24</v>
      </c>
      <c r="N205" s="1" t="s">
        <v>106</v>
      </c>
    </row>
    <row r="206" spans="1:14" x14ac:dyDescent="0.3">
      <c r="A206" s="1" t="s">
        <v>740</v>
      </c>
      <c r="B206" s="1" t="s">
        <v>741</v>
      </c>
      <c r="C206" s="1" t="s">
        <v>178</v>
      </c>
      <c r="D206" s="1" t="s">
        <v>537</v>
      </c>
      <c r="E206" s="1" t="s">
        <v>226</v>
      </c>
      <c r="F206" s="1" t="s">
        <v>19</v>
      </c>
      <c r="G206" s="1" t="s">
        <v>20</v>
      </c>
      <c r="H206" s="1" t="s">
        <v>105</v>
      </c>
      <c r="I206" s="1" t="s">
        <v>22</v>
      </c>
      <c r="J206" s="1" t="s">
        <v>35</v>
      </c>
      <c r="K206" s="1" t="s">
        <v>36</v>
      </c>
      <c r="L206" s="1" t="s">
        <v>477</v>
      </c>
      <c r="M206" s="1" t="s">
        <v>36</v>
      </c>
      <c r="N206" s="1" t="s">
        <v>742</v>
      </c>
    </row>
    <row r="207" spans="1:14" x14ac:dyDescent="0.3">
      <c r="A207" s="1" t="s">
        <v>743</v>
      </c>
      <c r="B207" s="1" t="s">
        <v>744</v>
      </c>
      <c r="C207" s="1" t="s">
        <v>115</v>
      </c>
      <c r="D207" s="1" t="s">
        <v>90</v>
      </c>
      <c r="E207" s="1" t="s">
        <v>445</v>
      </c>
      <c r="F207" s="1" t="s">
        <v>19</v>
      </c>
      <c r="G207" s="1" t="s">
        <v>20</v>
      </c>
      <c r="H207" s="1" t="s">
        <v>43</v>
      </c>
      <c r="I207" s="1" t="s">
        <v>34</v>
      </c>
      <c r="J207" s="1" t="s">
        <v>35</v>
      </c>
      <c r="K207" s="1" t="s">
        <v>24</v>
      </c>
      <c r="L207" s="1" t="s">
        <v>72</v>
      </c>
      <c r="M207" s="1" t="s">
        <v>36</v>
      </c>
      <c r="N207" s="1" t="s">
        <v>745</v>
      </c>
    </row>
    <row r="208" spans="1:14" x14ac:dyDescent="0.3">
      <c r="A208" s="1" t="s">
        <v>746</v>
      </c>
      <c r="B208" s="1" t="s">
        <v>747</v>
      </c>
      <c r="C208" s="1" t="s">
        <v>748</v>
      </c>
      <c r="D208" s="1" t="s">
        <v>90</v>
      </c>
      <c r="E208" s="1" t="s">
        <v>445</v>
      </c>
      <c r="F208" s="1" t="s">
        <v>32</v>
      </c>
      <c r="G208" s="1" t="s">
        <v>20</v>
      </c>
      <c r="H208" s="1" t="s">
        <v>105</v>
      </c>
      <c r="I208" s="1" t="s">
        <v>34</v>
      </c>
      <c r="J208" s="1" t="s">
        <v>23</v>
      </c>
      <c r="K208" s="1" t="s">
        <v>36</v>
      </c>
      <c r="L208" s="1" t="s">
        <v>411</v>
      </c>
      <c r="M208" s="1" t="s">
        <v>24</v>
      </c>
      <c r="N208" s="1" t="s">
        <v>749</v>
      </c>
    </row>
    <row r="209" spans="1:14" x14ac:dyDescent="0.3">
      <c r="A209" s="1" t="s">
        <v>750</v>
      </c>
      <c r="B209" s="1" t="s">
        <v>713</v>
      </c>
      <c r="C209" s="1" t="s">
        <v>47</v>
      </c>
      <c r="D209" s="1" t="s">
        <v>116</v>
      </c>
      <c r="E209" s="1" t="s">
        <v>56</v>
      </c>
      <c r="F209" s="1" t="s">
        <v>19</v>
      </c>
      <c r="G209" s="1" t="s">
        <v>20</v>
      </c>
      <c r="H209" s="1" t="s">
        <v>91</v>
      </c>
      <c r="I209" s="1" t="s">
        <v>34</v>
      </c>
      <c r="J209" s="1" t="s">
        <v>35</v>
      </c>
      <c r="K209" s="1" t="s">
        <v>24</v>
      </c>
      <c r="L209" s="1" t="s">
        <v>449</v>
      </c>
      <c r="M209" s="1" t="s">
        <v>36</v>
      </c>
      <c r="N209" s="1" t="s">
        <v>714</v>
      </c>
    </row>
    <row r="210" spans="1:14" x14ac:dyDescent="0.3">
      <c r="A210" s="1" t="s">
        <v>751</v>
      </c>
      <c r="B210" s="1" t="s">
        <v>752</v>
      </c>
      <c r="C210" s="1" t="s">
        <v>16</v>
      </c>
      <c r="D210" s="1" t="s">
        <v>152</v>
      </c>
      <c r="E210" s="1" t="s">
        <v>71</v>
      </c>
      <c r="F210" s="1" t="s">
        <v>19</v>
      </c>
      <c r="G210" s="1" t="s">
        <v>20</v>
      </c>
      <c r="H210" s="1" t="s">
        <v>66</v>
      </c>
      <c r="I210" s="1" t="s">
        <v>34</v>
      </c>
      <c r="J210" s="1" t="s">
        <v>50</v>
      </c>
      <c r="K210" s="1" t="s">
        <v>24</v>
      </c>
      <c r="L210" s="1" t="s">
        <v>477</v>
      </c>
      <c r="M210" s="1" t="s">
        <v>36</v>
      </c>
      <c r="N210" s="1" t="s">
        <v>158</v>
      </c>
    </row>
    <row r="211" spans="1:14" x14ac:dyDescent="0.3">
      <c r="A211" s="1" t="s">
        <v>753</v>
      </c>
      <c r="B211" s="1" t="s">
        <v>754</v>
      </c>
      <c r="C211" s="1" t="s">
        <v>16</v>
      </c>
      <c r="D211" s="1" t="s">
        <v>142</v>
      </c>
      <c r="E211" s="1" t="s">
        <v>97</v>
      </c>
      <c r="F211" s="1" t="s">
        <v>32</v>
      </c>
      <c r="G211" s="1" t="s">
        <v>20</v>
      </c>
      <c r="H211" s="1" t="s">
        <v>105</v>
      </c>
      <c r="I211" s="1" t="s">
        <v>22</v>
      </c>
      <c r="J211" s="1" t="s">
        <v>50</v>
      </c>
      <c r="K211" s="1" t="s">
        <v>36</v>
      </c>
      <c r="L211" s="1" t="s">
        <v>25</v>
      </c>
      <c r="M211" s="1" t="s">
        <v>36</v>
      </c>
      <c r="N211" s="1" t="s">
        <v>112</v>
      </c>
    </row>
    <row r="212" spans="1:14" x14ac:dyDescent="0.3">
      <c r="A212" s="1" t="s">
        <v>755</v>
      </c>
      <c r="B212" s="1" t="s">
        <v>756</v>
      </c>
      <c r="C212" s="1" t="s">
        <v>16</v>
      </c>
      <c r="D212" s="1" t="s">
        <v>70</v>
      </c>
      <c r="E212" s="1" t="s">
        <v>71</v>
      </c>
      <c r="F212" s="1" t="s">
        <v>32</v>
      </c>
      <c r="G212" s="1" t="s">
        <v>20</v>
      </c>
      <c r="H212" s="1" t="s">
        <v>322</v>
      </c>
      <c r="I212" s="1" t="s">
        <v>34</v>
      </c>
      <c r="J212" s="1" t="s">
        <v>23</v>
      </c>
      <c r="K212" s="1" t="s">
        <v>24</v>
      </c>
      <c r="L212" s="1" t="s">
        <v>25</v>
      </c>
      <c r="M212" s="1" t="s">
        <v>36</v>
      </c>
      <c r="N212" s="1" t="s">
        <v>757</v>
      </c>
    </row>
    <row r="213" spans="1:14" x14ac:dyDescent="0.3">
      <c r="A213" s="1" t="s">
        <v>758</v>
      </c>
      <c r="B213" s="1" t="s">
        <v>759</v>
      </c>
      <c r="C213" s="1" t="s">
        <v>415</v>
      </c>
      <c r="D213" s="1" t="s">
        <v>55</v>
      </c>
      <c r="E213" s="1" t="s">
        <v>147</v>
      </c>
      <c r="F213" s="1" t="s">
        <v>32</v>
      </c>
      <c r="G213" s="1" t="s">
        <v>20</v>
      </c>
      <c r="H213" s="1" t="s">
        <v>43</v>
      </c>
      <c r="I213" s="1" t="s">
        <v>34</v>
      </c>
      <c r="J213" s="1" t="s">
        <v>50</v>
      </c>
      <c r="K213" s="1" t="s">
        <v>24</v>
      </c>
      <c r="L213" s="1" t="s">
        <v>92</v>
      </c>
      <c r="M213" s="1" t="s">
        <v>36</v>
      </c>
      <c r="N213" s="1" t="s">
        <v>79</v>
      </c>
    </row>
    <row r="214" spans="1:14" x14ac:dyDescent="0.3">
      <c r="A214" s="1" t="s">
        <v>760</v>
      </c>
      <c r="B214" s="1" t="s">
        <v>761</v>
      </c>
      <c r="C214" s="1" t="s">
        <v>16</v>
      </c>
      <c r="D214" s="1" t="s">
        <v>205</v>
      </c>
      <c r="E214" s="1" t="s">
        <v>65</v>
      </c>
      <c r="F214" s="1" t="s">
        <v>32</v>
      </c>
      <c r="G214" s="1" t="s">
        <v>20</v>
      </c>
      <c r="H214" s="1" t="s">
        <v>33</v>
      </c>
      <c r="I214" s="1" t="s">
        <v>211</v>
      </c>
      <c r="J214" s="1" t="s">
        <v>35</v>
      </c>
      <c r="K214" s="1" t="s">
        <v>36</v>
      </c>
      <c r="L214" s="1" t="s">
        <v>72</v>
      </c>
      <c r="M214" s="1" t="s">
        <v>762</v>
      </c>
      <c r="N214" s="1" t="s">
        <v>38</v>
      </c>
    </row>
    <row r="215" spans="1:14" x14ac:dyDescent="0.3">
      <c r="A215" s="1" t="s">
        <v>763</v>
      </c>
      <c r="B215" s="1" t="s">
        <v>764</v>
      </c>
      <c r="C215" s="1" t="s">
        <v>16</v>
      </c>
      <c r="D215" s="1" t="s">
        <v>241</v>
      </c>
      <c r="E215" s="1" t="s">
        <v>506</v>
      </c>
      <c r="F215" s="1" t="s">
        <v>19</v>
      </c>
      <c r="G215" s="1" t="s">
        <v>20</v>
      </c>
      <c r="H215" s="1" t="s">
        <v>43</v>
      </c>
      <c r="I215" s="1" t="s">
        <v>34</v>
      </c>
      <c r="J215" s="1" t="s">
        <v>50</v>
      </c>
      <c r="K215" s="1" t="s">
        <v>24</v>
      </c>
      <c r="L215" s="1" t="s">
        <v>25</v>
      </c>
      <c r="M215" s="1" t="s">
        <v>36</v>
      </c>
      <c r="N215" s="1" t="s">
        <v>79</v>
      </c>
    </row>
    <row r="216" spans="1:14" x14ac:dyDescent="0.3">
      <c r="A216" s="1" t="s">
        <v>765</v>
      </c>
      <c r="B216" s="1" t="s">
        <v>766</v>
      </c>
      <c r="C216" s="1" t="s">
        <v>17</v>
      </c>
      <c r="D216" s="1" t="s">
        <v>205</v>
      </c>
      <c r="E216" s="1" t="s">
        <v>403</v>
      </c>
      <c r="F216" s="1" t="s">
        <v>32</v>
      </c>
      <c r="G216" s="1" t="s">
        <v>20</v>
      </c>
      <c r="H216" s="1" t="s">
        <v>43</v>
      </c>
      <c r="I216" s="1" t="s">
        <v>22</v>
      </c>
      <c r="J216" s="1" t="s">
        <v>35</v>
      </c>
      <c r="K216" s="1" t="s">
        <v>24</v>
      </c>
      <c r="L216" s="1" t="s">
        <v>72</v>
      </c>
      <c r="M216" s="1" t="s">
        <v>36</v>
      </c>
      <c r="N216" s="1" t="s">
        <v>73</v>
      </c>
    </row>
    <row r="217" spans="1:14" x14ac:dyDescent="0.3">
      <c r="A217" s="1" t="s">
        <v>767</v>
      </c>
      <c r="B217" s="1" t="s">
        <v>768</v>
      </c>
      <c r="C217" s="1" t="s">
        <v>47</v>
      </c>
      <c r="D217" s="1" t="s">
        <v>109</v>
      </c>
      <c r="E217" s="1" t="s">
        <v>194</v>
      </c>
      <c r="F217" s="1" t="s">
        <v>19</v>
      </c>
      <c r="G217" s="1" t="s">
        <v>20</v>
      </c>
      <c r="H217" s="1" t="s">
        <v>43</v>
      </c>
      <c r="I217" s="1" t="s">
        <v>22</v>
      </c>
      <c r="J217" s="1" t="s">
        <v>35</v>
      </c>
      <c r="K217" s="1" t="s">
        <v>24</v>
      </c>
      <c r="L217" s="1" t="s">
        <v>72</v>
      </c>
      <c r="M217" s="1" t="s">
        <v>769</v>
      </c>
      <c r="N217" s="1" t="s">
        <v>770</v>
      </c>
    </row>
    <row r="218" spans="1:14" x14ac:dyDescent="0.3">
      <c r="A218" s="1" t="s">
        <v>771</v>
      </c>
      <c r="B218" s="1" t="s">
        <v>772</v>
      </c>
      <c r="C218" s="1" t="s">
        <v>266</v>
      </c>
      <c r="D218" s="1" t="s">
        <v>48</v>
      </c>
      <c r="E218" s="1" t="s">
        <v>570</v>
      </c>
      <c r="F218" s="1" t="s">
        <v>32</v>
      </c>
      <c r="G218" s="1" t="s">
        <v>20</v>
      </c>
      <c r="H218" s="1" t="s">
        <v>135</v>
      </c>
      <c r="I218" s="1" t="s">
        <v>22</v>
      </c>
      <c r="J218" s="1" t="s">
        <v>35</v>
      </c>
      <c r="K218" s="1" t="s">
        <v>24</v>
      </c>
      <c r="L218" s="1" t="s">
        <v>72</v>
      </c>
      <c r="M218" s="1" t="s">
        <v>36</v>
      </c>
      <c r="N218" s="1" t="s">
        <v>38</v>
      </c>
    </row>
    <row r="219" spans="1:14" x14ac:dyDescent="0.3">
      <c r="A219" s="1" t="s">
        <v>773</v>
      </c>
      <c r="B219" s="1" t="s">
        <v>369</v>
      </c>
      <c r="C219" s="1" t="s">
        <v>16</v>
      </c>
      <c r="D219" s="1" t="s">
        <v>335</v>
      </c>
      <c r="E219" s="1" t="s">
        <v>77</v>
      </c>
      <c r="F219" s="1" t="s">
        <v>32</v>
      </c>
      <c r="G219" s="1" t="s">
        <v>20</v>
      </c>
      <c r="H219" s="1" t="s">
        <v>43</v>
      </c>
      <c r="I219" s="1" t="s">
        <v>22</v>
      </c>
      <c r="J219" s="1" t="s">
        <v>35</v>
      </c>
      <c r="K219" s="1" t="s">
        <v>36</v>
      </c>
      <c r="L219" s="1" t="s">
        <v>72</v>
      </c>
      <c r="M219" s="1" t="s">
        <v>36</v>
      </c>
      <c r="N219" s="1" t="s">
        <v>73</v>
      </c>
    </row>
    <row r="220" spans="1:14" x14ac:dyDescent="0.3">
      <c r="A220" s="1" t="s">
        <v>774</v>
      </c>
      <c r="B220" s="1" t="s">
        <v>775</v>
      </c>
      <c r="C220" s="1" t="s">
        <v>776</v>
      </c>
      <c r="D220" s="1" t="s">
        <v>372</v>
      </c>
      <c r="E220" s="1" t="s">
        <v>187</v>
      </c>
      <c r="F220" s="1" t="s">
        <v>32</v>
      </c>
      <c r="G220" s="1" t="s">
        <v>20</v>
      </c>
      <c r="H220" s="1" t="s">
        <v>98</v>
      </c>
      <c r="I220" s="1" t="s">
        <v>22</v>
      </c>
      <c r="J220" s="1" t="s">
        <v>35</v>
      </c>
      <c r="K220" s="1" t="s">
        <v>36</v>
      </c>
      <c r="L220" s="1" t="s">
        <v>154</v>
      </c>
      <c r="M220" s="1" t="s">
        <v>36</v>
      </c>
      <c r="N220" s="1" t="s">
        <v>87</v>
      </c>
    </row>
    <row r="221" spans="1:14" x14ac:dyDescent="0.3">
      <c r="A221" s="1" t="s">
        <v>777</v>
      </c>
      <c r="B221" s="1" t="s">
        <v>778</v>
      </c>
      <c r="C221" s="1" t="s">
        <v>779</v>
      </c>
      <c r="D221" s="1" t="s">
        <v>64</v>
      </c>
      <c r="E221" s="1" t="s">
        <v>97</v>
      </c>
      <c r="F221" s="1" t="s">
        <v>32</v>
      </c>
      <c r="G221" s="1" t="s">
        <v>20</v>
      </c>
      <c r="H221" s="1" t="s">
        <v>33</v>
      </c>
      <c r="I221" s="1" t="s">
        <v>34</v>
      </c>
      <c r="J221" s="1" t="s">
        <v>35</v>
      </c>
      <c r="K221" s="1" t="s">
        <v>36</v>
      </c>
      <c r="L221" s="1" t="s">
        <v>25</v>
      </c>
      <c r="M221" s="1" t="s">
        <v>36</v>
      </c>
      <c r="N221" s="1" t="s">
        <v>780</v>
      </c>
    </row>
    <row r="222" spans="1:14" x14ac:dyDescent="0.3">
      <c r="A222" s="1" t="s">
        <v>781</v>
      </c>
      <c r="B222" s="1" t="s">
        <v>782</v>
      </c>
      <c r="C222" s="1" t="s">
        <v>29</v>
      </c>
      <c r="D222" s="1" t="s">
        <v>30</v>
      </c>
      <c r="E222" s="1" t="s">
        <v>31</v>
      </c>
      <c r="F222" s="1" t="s">
        <v>32</v>
      </c>
      <c r="G222" s="1" t="s">
        <v>20</v>
      </c>
      <c r="H222" s="1" t="s">
        <v>43</v>
      </c>
      <c r="I222" s="1" t="s">
        <v>34</v>
      </c>
      <c r="J222" s="1" t="s">
        <v>35</v>
      </c>
      <c r="K222" s="1" t="s">
        <v>36</v>
      </c>
      <c r="L222" s="1" t="s">
        <v>25</v>
      </c>
      <c r="M222" s="1" t="s">
        <v>36</v>
      </c>
      <c r="N222" s="1" t="s">
        <v>38</v>
      </c>
    </row>
    <row r="223" spans="1:14" x14ac:dyDescent="0.3">
      <c r="A223" s="1" t="s">
        <v>783</v>
      </c>
      <c r="B223" s="1" t="s">
        <v>784</v>
      </c>
      <c r="C223" s="1" t="s">
        <v>126</v>
      </c>
      <c r="D223" s="1" t="s">
        <v>41</v>
      </c>
      <c r="E223" s="1" t="s">
        <v>104</v>
      </c>
      <c r="F223" s="1" t="s">
        <v>32</v>
      </c>
      <c r="G223" s="1" t="s">
        <v>20</v>
      </c>
      <c r="H223" s="1" t="s">
        <v>243</v>
      </c>
      <c r="I223" s="1" t="s">
        <v>211</v>
      </c>
      <c r="J223" s="1" t="s">
        <v>23</v>
      </c>
      <c r="K223" s="1" t="s">
        <v>24</v>
      </c>
      <c r="L223" s="1" t="s">
        <v>25</v>
      </c>
      <c r="M223" s="1" t="s">
        <v>24</v>
      </c>
      <c r="N223" s="1" t="s">
        <v>106</v>
      </c>
    </row>
    <row r="224" spans="1:14" x14ac:dyDescent="0.3">
      <c r="A224" s="1" t="s">
        <v>785</v>
      </c>
      <c r="B224" s="1" t="s">
        <v>786</v>
      </c>
      <c r="C224" s="1" t="s">
        <v>787</v>
      </c>
      <c r="D224" s="1" t="s">
        <v>64</v>
      </c>
      <c r="E224" s="1" t="s">
        <v>788</v>
      </c>
      <c r="F224" s="1" t="s">
        <v>32</v>
      </c>
      <c r="G224" s="1" t="s">
        <v>20</v>
      </c>
      <c r="H224" s="1" t="s">
        <v>33</v>
      </c>
      <c r="I224" s="1" t="s">
        <v>22</v>
      </c>
      <c r="J224" s="1" t="s">
        <v>35</v>
      </c>
      <c r="K224" s="1" t="s">
        <v>36</v>
      </c>
      <c r="L224" s="1" t="s">
        <v>25</v>
      </c>
      <c r="M224" s="1" t="s">
        <v>36</v>
      </c>
      <c r="N224" s="1" t="s">
        <v>789</v>
      </c>
    </row>
    <row r="225" spans="1:14" x14ac:dyDescent="0.3">
      <c r="A225" s="1" t="s">
        <v>790</v>
      </c>
      <c r="B225" s="1" t="s">
        <v>791</v>
      </c>
      <c r="C225" s="1" t="s">
        <v>63</v>
      </c>
      <c r="D225" s="1" t="s">
        <v>90</v>
      </c>
      <c r="E225" s="1" t="s">
        <v>506</v>
      </c>
      <c r="F225" s="1" t="s">
        <v>19</v>
      </c>
      <c r="G225" s="1" t="s">
        <v>20</v>
      </c>
      <c r="H225" s="1" t="s">
        <v>43</v>
      </c>
      <c r="I225" s="1" t="s">
        <v>34</v>
      </c>
      <c r="J225" s="1" t="s">
        <v>35</v>
      </c>
      <c r="K225" s="1" t="s">
        <v>36</v>
      </c>
      <c r="L225" s="1" t="s">
        <v>25</v>
      </c>
      <c r="M225" s="1" t="s">
        <v>36</v>
      </c>
      <c r="N225" s="1" t="s">
        <v>238</v>
      </c>
    </row>
    <row r="226" spans="1:14" x14ac:dyDescent="0.3">
      <c r="A226" s="1" t="s">
        <v>792</v>
      </c>
      <c r="B226" s="1" t="s">
        <v>793</v>
      </c>
      <c r="C226" s="1" t="s">
        <v>47</v>
      </c>
      <c r="D226" s="1" t="s">
        <v>794</v>
      </c>
      <c r="E226" s="1" t="s">
        <v>175</v>
      </c>
      <c r="F226" s="1" t="s">
        <v>32</v>
      </c>
      <c r="G226" s="1" t="s">
        <v>20</v>
      </c>
      <c r="H226" s="1" t="s">
        <v>105</v>
      </c>
      <c r="I226" s="1" t="s">
        <v>22</v>
      </c>
      <c r="J226" s="1" t="s">
        <v>50</v>
      </c>
      <c r="K226" s="1" t="s">
        <v>24</v>
      </c>
      <c r="L226" s="1" t="s">
        <v>72</v>
      </c>
      <c r="M226" s="1" t="s">
        <v>36</v>
      </c>
      <c r="N226" s="1" t="s">
        <v>79</v>
      </c>
    </row>
    <row r="227" spans="1:14" x14ac:dyDescent="0.3">
      <c r="A227" s="1" t="s">
        <v>795</v>
      </c>
      <c r="B227" s="1" t="s">
        <v>796</v>
      </c>
      <c r="C227" s="1" t="s">
        <v>174</v>
      </c>
      <c r="D227" s="1" t="s">
        <v>797</v>
      </c>
      <c r="E227" s="1" t="s">
        <v>798</v>
      </c>
      <c r="F227" s="1" t="s">
        <v>32</v>
      </c>
      <c r="G227" s="1" t="s">
        <v>20</v>
      </c>
      <c r="H227" s="1" t="s">
        <v>243</v>
      </c>
      <c r="I227" s="1" t="s">
        <v>34</v>
      </c>
      <c r="J227" s="1" t="s">
        <v>23</v>
      </c>
      <c r="K227" s="1" t="s">
        <v>24</v>
      </c>
      <c r="L227" s="1" t="s">
        <v>25</v>
      </c>
      <c r="M227" s="1" t="s">
        <v>24</v>
      </c>
      <c r="N227" s="1" t="s">
        <v>106</v>
      </c>
    </row>
    <row r="228" spans="1:14" x14ac:dyDescent="0.3">
      <c r="A228" s="1" t="s">
        <v>799</v>
      </c>
      <c r="B228" s="1" t="s">
        <v>800</v>
      </c>
      <c r="C228" s="1" t="s">
        <v>29</v>
      </c>
      <c r="D228" s="1" t="s">
        <v>64</v>
      </c>
      <c r="E228" s="1" t="s">
        <v>60</v>
      </c>
      <c r="F228" s="1" t="s">
        <v>32</v>
      </c>
      <c r="G228" s="1" t="s">
        <v>20</v>
      </c>
      <c r="H228" s="1" t="s">
        <v>21</v>
      </c>
      <c r="I228" s="1" t="s">
        <v>22</v>
      </c>
      <c r="J228" s="1" t="s">
        <v>50</v>
      </c>
      <c r="K228" s="1" t="s">
        <v>24</v>
      </c>
      <c r="L228" s="1" t="s">
        <v>25</v>
      </c>
      <c r="M228" s="1" t="s">
        <v>36</v>
      </c>
      <c r="N228" s="1" t="s">
        <v>801</v>
      </c>
    </row>
    <row r="229" spans="1:14" x14ac:dyDescent="0.3">
      <c r="A229" s="1" t="s">
        <v>802</v>
      </c>
      <c r="B229" s="1" t="s">
        <v>803</v>
      </c>
      <c r="C229" s="1" t="s">
        <v>329</v>
      </c>
      <c r="D229" s="1" t="s">
        <v>157</v>
      </c>
      <c r="E229" s="1" t="s">
        <v>445</v>
      </c>
      <c r="F229" s="1" t="s">
        <v>32</v>
      </c>
      <c r="G229" s="1" t="s">
        <v>20</v>
      </c>
      <c r="H229" s="1" t="s">
        <v>43</v>
      </c>
      <c r="I229" s="1" t="s">
        <v>22</v>
      </c>
      <c r="J229" s="1" t="s">
        <v>35</v>
      </c>
      <c r="K229" s="1" t="s">
        <v>24</v>
      </c>
      <c r="L229" s="1" t="s">
        <v>25</v>
      </c>
      <c r="M229" s="1" t="s">
        <v>36</v>
      </c>
      <c r="N229" s="1" t="s">
        <v>440</v>
      </c>
    </row>
    <row r="230" spans="1:14" x14ac:dyDescent="0.3">
      <c r="A230" s="1" t="s">
        <v>804</v>
      </c>
      <c r="B230" s="1" t="s">
        <v>805</v>
      </c>
      <c r="C230" s="1" t="s">
        <v>806</v>
      </c>
      <c r="D230" s="1" t="s">
        <v>205</v>
      </c>
      <c r="E230" s="1" t="s">
        <v>110</v>
      </c>
      <c r="F230" s="1" t="s">
        <v>19</v>
      </c>
      <c r="G230" s="1" t="s">
        <v>20</v>
      </c>
      <c r="H230" s="1" t="s">
        <v>33</v>
      </c>
      <c r="I230" s="1" t="s">
        <v>22</v>
      </c>
      <c r="J230" s="1" t="s">
        <v>35</v>
      </c>
      <c r="K230" s="1" t="s">
        <v>36</v>
      </c>
      <c r="L230" s="1" t="s">
        <v>25</v>
      </c>
      <c r="M230" s="1" t="s">
        <v>36</v>
      </c>
      <c r="N230" s="1" t="s">
        <v>38</v>
      </c>
    </row>
    <row r="231" spans="1:14" x14ac:dyDescent="0.3">
      <c r="A231" s="1" t="s">
        <v>807</v>
      </c>
      <c r="B231" s="1" t="s">
        <v>808</v>
      </c>
      <c r="C231" s="1" t="s">
        <v>16</v>
      </c>
      <c r="D231" s="1" t="s">
        <v>70</v>
      </c>
      <c r="E231" s="1" t="s">
        <v>71</v>
      </c>
      <c r="F231" s="1" t="s">
        <v>32</v>
      </c>
      <c r="G231" s="1" t="s">
        <v>20</v>
      </c>
      <c r="H231" s="1" t="s">
        <v>243</v>
      </c>
      <c r="I231" s="1" t="s">
        <v>34</v>
      </c>
      <c r="J231" s="1" t="s">
        <v>23</v>
      </c>
      <c r="K231" s="1" t="s">
        <v>24</v>
      </c>
      <c r="L231" s="1" t="s">
        <v>72</v>
      </c>
      <c r="M231" s="1" t="s">
        <v>24</v>
      </c>
      <c r="N231" s="1" t="s">
        <v>73</v>
      </c>
    </row>
    <row r="232" spans="1:14" x14ac:dyDescent="0.3">
      <c r="A232" s="1" t="s">
        <v>809</v>
      </c>
      <c r="B232" s="1" t="s">
        <v>810</v>
      </c>
      <c r="C232" s="1" t="s">
        <v>16</v>
      </c>
      <c r="D232" s="1" t="s">
        <v>116</v>
      </c>
      <c r="E232" s="1" t="s">
        <v>65</v>
      </c>
      <c r="F232" s="1" t="s">
        <v>32</v>
      </c>
      <c r="G232" s="1" t="s">
        <v>20</v>
      </c>
      <c r="H232" s="1" t="s">
        <v>33</v>
      </c>
      <c r="I232" s="1" t="s">
        <v>22</v>
      </c>
      <c r="J232" s="1" t="s">
        <v>35</v>
      </c>
      <c r="K232" s="1" t="s">
        <v>36</v>
      </c>
      <c r="L232" s="1" t="s">
        <v>78</v>
      </c>
      <c r="M232" s="1" t="s">
        <v>36</v>
      </c>
      <c r="N232" s="1" t="s">
        <v>390</v>
      </c>
    </row>
    <row r="233" spans="1:14" x14ac:dyDescent="0.3">
      <c r="A233" s="1" t="s">
        <v>811</v>
      </c>
      <c r="B233" s="1" t="s">
        <v>812</v>
      </c>
      <c r="C233" s="1" t="s">
        <v>16</v>
      </c>
      <c r="D233" s="1" t="s">
        <v>64</v>
      </c>
      <c r="E233" s="1" t="s">
        <v>65</v>
      </c>
      <c r="F233" s="1" t="s">
        <v>32</v>
      </c>
      <c r="G233" s="1" t="s">
        <v>20</v>
      </c>
      <c r="H233" s="1" t="s">
        <v>66</v>
      </c>
      <c r="I233" s="1" t="s">
        <v>34</v>
      </c>
      <c r="J233" s="1" t="s">
        <v>35</v>
      </c>
      <c r="K233" s="1" t="s">
        <v>24</v>
      </c>
      <c r="L233" s="1" t="s">
        <v>449</v>
      </c>
      <c r="M233" s="1" t="s">
        <v>36</v>
      </c>
      <c r="N233" s="1" t="s">
        <v>813</v>
      </c>
    </row>
    <row r="234" spans="1:14" x14ac:dyDescent="0.3">
      <c r="A234" s="1" t="s">
        <v>814</v>
      </c>
      <c r="B234" s="1" t="s">
        <v>815</v>
      </c>
      <c r="C234" s="1" t="s">
        <v>16</v>
      </c>
      <c r="D234" s="1" t="s">
        <v>335</v>
      </c>
      <c r="E234" s="1" t="s">
        <v>77</v>
      </c>
      <c r="F234" s="1" t="s">
        <v>32</v>
      </c>
      <c r="G234" s="1" t="s">
        <v>20</v>
      </c>
      <c r="H234" s="1" t="s">
        <v>66</v>
      </c>
      <c r="I234" s="1" t="s">
        <v>22</v>
      </c>
      <c r="J234" s="1" t="s">
        <v>50</v>
      </c>
      <c r="K234" s="1" t="s">
        <v>36</v>
      </c>
      <c r="L234" s="1" t="s">
        <v>72</v>
      </c>
      <c r="M234" s="1" t="s">
        <v>816</v>
      </c>
      <c r="N234" s="1" t="s">
        <v>216</v>
      </c>
    </row>
    <row r="235" spans="1:14" x14ac:dyDescent="0.3">
      <c r="A235" s="1" t="s">
        <v>817</v>
      </c>
      <c r="B235" s="1" t="s">
        <v>818</v>
      </c>
      <c r="C235" s="1" t="s">
        <v>819</v>
      </c>
      <c r="D235" s="1" t="s">
        <v>820</v>
      </c>
      <c r="E235" s="1" t="s">
        <v>445</v>
      </c>
      <c r="F235" s="1" t="s">
        <v>19</v>
      </c>
      <c r="G235" s="1" t="s">
        <v>20</v>
      </c>
      <c r="H235" s="1" t="s">
        <v>98</v>
      </c>
      <c r="I235" s="1" t="s">
        <v>34</v>
      </c>
      <c r="J235" s="1" t="s">
        <v>35</v>
      </c>
      <c r="K235" s="1" t="s">
        <v>36</v>
      </c>
      <c r="L235" s="1" t="s">
        <v>25</v>
      </c>
      <c r="M235" s="1" t="s">
        <v>36</v>
      </c>
      <c r="N235" s="1" t="s">
        <v>821</v>
      </c>
    </row>
    <row r="236" spans="1:14" x14ac:dyDescent="0.3">
      <c r="A236" s="1" t="s">
        <v>822</v>
      </c>
      <c r="B236" s="1" t="s">
        <v>823</v>
      </c>
      <c r="C236" s="1" t="s">
        <v>16</v>
      </c>
      <c r="D236" s="1" t="s">
        <v>70</v>
      </c>
      <c r="E236" s="1" t="s">
        <v>71</v>
      </c>
      <c r="F236" s="1" t="s">
        <v>19</v>
      </c>
      <c r="G236" s="1" t="s">
        <v>20</v>
      </c>
      <c r="H236" s="1" t="s">
        <v>43</v>
      </c>
      <c r="I236" s="1" t="s">
        <v>22</v>
      </c>
      <c r="J236" s="1" t="s">
        <v>50</v>
      </c>
      <c r="K236" s="1" t="s">
        <v>24</v>
      </c>
      <c r="L236" s="1" t="s">
        <v>72</v>
      </c>
      <c r="M236" s="1" t="s">
        <v>36</v>
      </c>
      <c r="N236" s="1" t="s">
        <v>112</v>
      </c>
    </row>
    <row r="237" spans="1:14" x14ac:dyDescent="0.3">
      <c r="A237" s="1" t="s">
        <v>824</v>
      </c>
      <c r="B237" s="1" t="s">
        <v>825</v>
      </c>
      <c r="C237" s="1" t="s">
        <v>47</v>
      </c>
      <c r="D237" s="1" t="s">
        <v>335</v>
      </c>
      <c r="E237" s="1" t="s">
        <v>49</v>
      </c>
      <c r="F237" s="1" t="s">
        <v>19</v>
      </c>
      <c r="G237" s="1" t="s">
        <v>20</v>
      </c>
      <c r="H237" s="1" t="s">
        <v>43</v>
      </c>
      <c r="I237" s="1" t="s">
        <v>22</v>
      </c>
      <c r="J237" s="1" t="s">
        <v>35</v>
      </c>
      <c r="K237" s="1" t="s">
        <v>24</v>
      </c>
      <c r="L237" s="1" t="s">
        <v>25</v>
      </c>
      <c r="M237" s="1" t="s">
        <v>36</v>
      </c>
      <c r="N237" s="1" t="s">
        <v>826</v>
      </c>
    </row>
    <row r="238" spans="1:14" x14ac:dyDescent="0.3">
      <c r="A238" s="1" t="s">
        <v>827</v>
      </c>
      <c r="B238" s="1" t="s">
        <v>828</v>
      </c>
      <c r="C238" s="1" t="s">
        <v>829</v>
      </c>
      <c r="D238" s="1" t="s">
        <v>70</v>
      </c>
      <c r="E238" s="1" t="s">
        <v>830</v>
      </c>
      <c r="F238" s="1" t="s">
        <v>19</v>
      </c>
      <c r="G238" s="1" t="s">
        <v>20</v>
      </c>
      <c r="H238" s="1" t="s">
        <v>43</v>
      </c>
      <c r="I238" s="1" t="s">
        <v>34</v>
      </c>
      <c r="J238" s="1" t="s">
        <v>50</v>
      </c>
      <c r="K238" s="1" t="s">
        <v>24</v>
      </c>
      <c r="L238" s="1" t="s">
        <v>25</v>
      </c>
      <c r="M238" s="1" t="s">
        <v>36</v>
      </c>
      <c r="N238" s="1" t="s">
        <v>831</v>
      </c>
    </row>
    <row r="239" spans="1:14" x14ac:dyDescent="0.3">
      <c r="A239" s="1" t="s">
        <v>832</v>
      </c>
      <c r="B239" s="1" t="s">
        <v>833</v>
      </c>
      <c r="C239" s="1" t="s">
        <v>834</v>
      </c>
      <c r="D239" s="1" t="s">
        <v>729</v>
      </c>
      <c r="E239" s="1" t="s">
        <v>134</v>
      </c>
      <c r="F239" s="1" t="s">
        <v>32</v>
      </c>
      <c r="G239" s="1" t="s">
        <v>20</v>
      </c>
      <c r="H239" s="1" t="s">
        <v>105</v>
      </c>
      <c r="I239" s="1" t="s">
        <v>34</v>
      </c>
      <c r="J239" s="1" t="s">
        <v>23</v>
      </c>
      <c r="K239" s="1" t="s">
        <v>24</v>
      </c>
      <c r="L239" s="1" t="s">
        <v>411</v>
      </c>
      <c r="M239" s="1" t="s">
        <v>24</v>
      </c>
      <c r="N239" s="1" t="s">
        <v>835</v>
      </c>
    </row>
    <row r="240" spans="1:14" x14ac:dyDescent="0.3">
      <c r="A240" s="1" t="s">
        <v>836</v>
      </c>
      <c r="B240" s="1" t="s">
        <v>837</v>
      </c>
      <c r="C240" s="1" t="s">
        <v>838</v>
      </c>
      <c r="D240" s="1" t="s">
        <v>152</v>
      </c>
      <c r="E240" s="1" t="s">
        <v>839</v>
      </c>
      <c r="F240" s="1" t="s">
        <v>32</v>
      </c>
      <c r="G240" s="1" t="s">
        <v>20</v>
      </c>
      <c r="H240" s="1" t="s">
        <v>66</v>
      </c>
      <c r="I240" s="1" t="s">
        <v>34</v>
      </c>
      <c r="J240" s="1" t="s">
        <v>35</v>
      </c>
      <c r="K240" s="1" t="s">
        <v>36</v>
      </c>
      <c r="L240" s="1" t="s">
        <v>25</v>
      </c>
      <c r="M240" s="1" t="s">
        <v>24</v>
      </c>
      <c r="N240" s="1" t="s">
        <v>840</v>
      </c>
    </row>
    <row r="241" spans="1:14" x14ac:dyDescent="0.3">
      <c r="A241" s="1" t="s">
        <v>841</v>
      </c>
      <c r="B241" s="1" t="s">
        <v>223</v>
      </c>
      <c r="C241" s="1" t="s">
        <v>29</v>
      </c>
      <c r="D241" s="1" t="s">
        <v>205</v>
      </c>
      <c r="E241" s="1" t="s">
        <v>31</v>
      </c>
      <c r="F241" s="1" t="s">
        <v>32</v>
      </c>
      <c r="G241" s="1" t="s">
        <v>20</v>
      </c>
      <c r="H241" s="1" t="s">
        <v>33</v>
      </c>
      <c r="I241" s="1" t="s">
        <v>34</v>
      </c>
      <c r="J241" s="1" t="s">
        <v>35</v>
      </c>
      <c r="K241" s="1" t="s">
        <v>36</v>
      </c>
      <c r="L241" s="1" t="s">
        <v>25</v>
      </c>
      <c r="M241" s="1" t="s">
        <v>36</v>
      </c>
      <c r="N241" s="1" t="s">
        <v>38</v>
      </c>
    </row>
    <row r="242" spans="1:14" x14ac:dyDescent="0.3">
      <c r="A242" s="1" t="s">
        <v>842</v>
      </c>
      <c r="B242" s="1" t="s">
        <v>476</v>
      </c>
      <c r="C242" s="1" t="s">
        <v>329</v>
      </c>
      <c r="D242" s="1" t="s">
        <v>17</v>
      </c>
      <c r="E242" s="1" t="s">
        <v>110</v>
      </c>
      <c r="F242" s="1" t="s">
        <v>19</v>
      </c>
      <c r="G242" s="1" t="s">
        <v>20</v>
      </c>
      <c r="H242" s="1" t="s">
        <v>98</v>
      </c>
      <c r="I242" s="1" t="s">
        <v>22</v>
      </c>
      <c r="J242" s="1" t="s">
        <v>35</v>
      </c>
      <c r="K242" s="1" t="s">
        <v>36</v>
      </c>
      <c r="L242" s="1" t="s">
        <v>477</v>
      </c>
      <c r="M242" s="1" t="s">
        <v>36</v>
      </c>
      <c r="N242" s="1" t="s">
        <v>180</v>
      </c>
    </row>
    <row r="243" spans="1:14" x14ac:dyDescent="0.3">
      <c r="A243" s="1" t="s">
        <v>843</v>
      </c>
      <c r="B243" s="1" t="s">
        <v>844</v>
      </c>
      <c r="C243" s="1" t="s">
        <v>174</v>
      </c>
      <c r="D243" s="1" t="s">
        <v>335</v>
      </c>
      <c r="E243" s="1" t="s">
        <v>570</v>
      </c>
      <c r="F243" s="1" t="s">
        <v>19</v>
      </c>
      <c r="G243" s="1" t="s">
        <v>20</v>
      </c>
      <c r="H243" s="1" t="s">
        <v>33</v>
      </c>
      <c r="I243" s="1" t="s">
        <v>34</v>
      </c>
      <c r="J243" s="1" t="s">
        <v>35</v>
      </c>
      <c r="K243" s="1" t="s">
        <v>36</v>
      </c>
      <c r="L243" s="1" t="s">
        <v>25</v>
      </c>
      <c r="M243" s="1" t="s">
        <v>36</v>
      </c>
      <c r="N243" s="1" t="s">
        <v>845</v>
      </c>
    </row>
    <row r="244" spans="1:14" x14ac:dyDescent="0.3">
      <c r="A244" s="1" t="s">
        <v>846</v>
      </c>
      <c r="B244" s="1" t="s">
        <v>847</v>
      </c>
      <c r="C244" s="1" t="s">
        <v>47</v>
      </c>
      <c r="D244" s="1" t="s">
        <v>848</v>
      </c>
      <c r="E244" s="1" t="s">
        <v>18</v>
      </c>
      <c r="F244" s="1" t="s">
        <v>19</v>
      </c>
      <c r="G244" s="1" t="s">
        <v>20</v>
      </c>
      <c r="H244" s="1" t="s">
        <v>43</v>
      </c>
      <c r="I244" s="1" t="s">
        <v>22</v>
      </c>
      <c r="J244" s="1" t="s">
        <v>35</v>
      </c>
      <c r="K244" s="1" t="s">
        <v>36</v>
      </c>
      <c r="L244" s="1" t="s">
        <v>25</v>
      </c>
      <c r="M244" s="1" t="s">
        <v>849</v>
      </c>
      <c r="N244" s="1" t="s">
        <v>57</v>
      </c>
    </row>
    <row r="245" spans="1:14" x14ac:dyDescent="0.3">
      <c r="A245" s="1" t="s">
        <v>850</v>
      </c>
      <c r="B245" s="1" t="s">
        <v>851</v>
      </c>
      <c r="C245" s="1" t="s">
        <v>29</v>
      </c>
      <c r="D245" s="1" t="s">
        <v>852</v>
      </c>
      <c r="E245" s="1" t="s">
        <v>330</v>
      </c>
      <c r="F245" s="1" t="s">
        <v>19</v>
      </c>
      <c r="G245" s="1" t="s">
        <v>20</v>
      </c>
      <c r="H245" s="1" t="s">
        <v>243</v>
      </c>
      <c r="I245" s="1" t="s">
        <v>22</v>
      </c>
      <c r="J245" s="1" t="s">
        <v>35</v>
      </c>
      <c r="K245" s="1" t="s">
        <v>36</v>
      </c>
      <c r="L245" s="1" t="s">
        <v>25</v>
      </c>
      <c r="M245" s="1" t="s">
        <v>24</v>
      </c>
      <c r="N245" s="1" t="s">
        <v>801</v>
      </c>
    </row>
    <row r="246" spans="1:14" x14ac:dyDescent="0.3">
      <c r="A246" s="1" t="s">
        <v>853</v>
      </c>
      <c r="B246" s="1" t="s">
        <v>782</v>
      </c>
      <c r="C246" s="1" t="s">
        <v>29</v>
      </c>
      <c r="D246" s="1" t="s">
        <v>64</v>
      </c>
      <c r="E246" s="1" t="s">
        <v>60</v>
      </c>
      <c r="F246" s="1" t="s">
        <v>32</v>
      </c>
      <c r="G246" s="1" t="s">
        <v>20</v>
      </c>
      <c r="H246" s="1" t="s">
        <v>243</v>
      </c>
      <c r="I246" s="1" t="s">
        <v>34</v>
      </c>
      <c r="J246" s="1" t="s">
        <v>35</v>
      </c>
      <c r="K246" s="1" t="s">
        <v>36</v>
      </c>
      <c r="L246" s="1" t="s">
        <v>25</v>
      </c>
      <c r="M246" s="1" t="s">
        <v>36</v>
      </c>
      <c r="N246" s="1" t="s">
        <v>38</v>
      </c>
    </row>
    <row r="247" spans="1:14" x14ac:dyDescent="0.3">
      <c r="A247" s="1" t="s">
        <v>854</v>
      </c>
      <c r="B247" s="1" t="s">
        <v>784</v>
      </c>
      <c r="C247" s="1" t="s">
        <v>174</v>
      </c>
      <c r="D247" s="1" t="s">
        <v>235</v>
      </c>
      <c r="E247" s="1" t="s">
        <v>855</v>
      </c>
      <c r="F247" s="1" t="s">
        <v>32</v>
      </c>
      <c r="G247" s="1" t="s">
        <v>20</v>
      </c>
      <c r="H247" s="1" t="s">
        <v>243</v>
      </c>
      <c r="I247" s="1" t="s">
        <v>34</v>
      </c>
      <c r="J247" s="1" t="s">
        <v>23</v>
      </c>
      <c r="K247" s="1" t="s">
        <v>24</v>
      </c>
      <c r="L247" s="1" t="s">
        <v>25</v>
      </c>
      <c r="M247" s="1" t="s">
        <v>24</v>
      </c>
      <c r="N247" s="1" t="s">
        <v>106</v>
      </c>
    </row>
    <row r="248" spans="1:14" x14ac:dyDescent="0.3">
      <c r="A248" s="1" t="s">
        <v>856</v>
      </c>
      <c r="B248" s="1" t="s">
        <v>857</v>
      </c>
      <c r="C248" s="1" t="s">
        <v>29</v>
      </c>
      <c r="D248" s="1" t="s">
        <v>480</v>
      </c>
      <c r="E248" s="1" t="s">
        <v>110</v>
      </c>
      <c r="F248" s="1" t="s">
        <v>19</v>
      </c>
      <c r="G248" s="1" t="s">
        <v>20</v>
      </c>
      <c r="H248" s="1" t="s">
        <v>322</v>
      </c>
      <c r="I248" s="1" t="s">
        <v>22</v>
      </c>
      <c r="J248" s="1" t="s">
        <v>35</v>
      </c>
      <c r="K248" s="1" t="s">
        <v>24</v>
      </c>
      <c r="L248" s="1" t="s">
        <v>25</v>
      </c>
      <c r="M248" s="1" t="s">
        <v>36</v>
      </c>
      <c r="N248" s="1" t="s">
        <v>858</v>
      </c>
    </row>
    <row r="249" spans="1:14" x14ac:dyDescent="0.3">
      <c r="A249" s="1" t="s">
        <v>859</v>
      </c>
      <c r="B249" s="1" t="s">
        <v>860</v>
      </c>
      <c r="C249" s="1" t="s">
        <v>84</v>
      </c>
      <c r="D249" s="1" t="s">
        <v>139</v>
      </c>
      <c r="E249" s="1" t="s">
        <v>579</v>
      </c>
      <c r="F249" s="1" t="s">
        <v>19</v>
      </c>
      <c r="G249" s="1" t="s">
        <v>20</v>
      </c>
      <c r="H249" s="1" t="s">
        <v>66</v>
      </c>
      <c r="I249" s="1" t="s">
        <v>211</v>
      </c>
      <c r="J249" s="1" t="s">
        <v>35</v>
      </c>
      <c r="K249" s="1" t="s">
        <v>24</v>
      </c>
      <c r="L249" s="1" t="s">
        <v>78</v>
      </c>
      <c r="M249" s="1" t="s">
        <v>24</v>
      </c>
      <c r="N249" s="1" t="s">
        <v>213</v>
      </c>
    </row>
    <row r="250" spans="1:14" x14ac:dyDescent="0.3">
      <c r="A250" s="1" t="s">
        <v>861</v>
      </c>
      <c r="B250" s="1" t="s">
        <v>862</v>
      </c>
      <c r="C250" s="1" t="s">
        <v>63</v>
      </c>
      <c r="D250" s="1" t="s">
        <v>235</v>
      </c>
      <c r="E250" s="1" t="s">
        <v>187</v>
      </c>
      <c r="F250" s="1" t="s">
        <v>32</v>
      </c>
      <c r="G250" s="1" t="s">
        <v>20</v>
      </c>
      <c r="H250" s="1" t="s">
        <v>43</v>
      </c>
      <c r="I250" s="1" t="s">
        <v>22</v>
      </c>
      <c r="J250" s="1" t="s">
        <v>50</v>
      </c>
      <c r="K250" s="1" t="s">
        <v>24</v>
      </c>
      <c r="L250" s="1" t="s">
        <v>72</v>
      </c>
      <c r="M250" s="1" t="s">
        <v>36</v>
      </c>
      <c r="N250" s="1" t="s">
        <v>87</v>
      </c>
    </row>
    <row r="251" spans="1:14" x14ac:dyDescent="0.3">
      <c r="A251" s="1" t="s">
        <v>863</v>
      </c>
      <c r="B251" s="1" t="s">
        <v>864</v>
      </c>
      <c r="C251" s="1" t="s">
        <v>84</v>
      </c>
      <c r="D251" s="1" t="s">
        <v>186</v>
      </c>
      <c r="E251" s="1" t="s">
        <v>187</v>
      </c>
      <c r="F251" s="1" t="s">
        <v>32</v>
      </c>
      <c r="G251" s="1" t="s">
        <v>20</v>
      </c>
      <c r="H251" s="1" t="s">
        <v>33</v>
      </c>
      <c r="I251" s="1" t="s">
        <v>34</v>
      </c>
      <c r="J251" s="1" t="s">
        <v>35</v>
      </c>
      <c r="K251" s="1" t="s">
        <v>36</v>
      </c>
      <c r="L251" s="1" t="s">
        <v>25</v>
      </c>
      <c r="M251" s="1" t="s">
        <v>36</v>
      </c>
      <c r="N251" s="1" t="s">
        <v>865</v>
      </c>
    </row>
    <row r="252" spans="1:14" x14ac:dyDescent="0.3">
      <c r="A252" s="1" t="s">
        <v>866</v>
      </c>
      <c r="B252" s="1" t="s">
        <v>867</v>
      </c>
      <c r="C252" s="1" t="s">
        <v>16</v>
      </c>
      <c r="D252" s="1" t="s">
        <v>356</v>
      </c>
      <c r="E252" s="1" t="s">
        <v>506</v>
      </c>
      <c r="F252" s="1" t="s">
        <v>19</v>
      </c>
      <c r="G252" s="1" t="s">
        <v>20</v>
      </c>
      <c r="H252" s="1" t="s">
        <v>43</v>
      </c>
      <c r="I252" s="1" t="s">
        <v>22</v>
      </c>
      <c r="J252" s="1" t="s">
        <v>35</v>
      </c>
      <c r="K252" s="1" t="s">
        <v>24</v>
      </c>
      <c r="L252" s="1" t="s">
        <v>25</v>
      </c>
      <c r="M252" s="1" t="s">
        <v>36</v>
      </c>
      <c r="N252" s="1" t="s">
        <v>858</v>
      </c>
    </row>
    <row r="253" spans="1:14" x14ac:dyDescent="0.3">
      <c r="A253" s="1" t="s">
        <v>868</v>
      </c>
      <c r="B253" s="1" t="s">
        <v>869</v>
      </c>
      <c r="C253" s="1" t="s">
        <v>870</v>
      </c>
      <c r="D253" s="1" t="s">
        <v>161</v>
      </c>
      <c r="E253" s="1" t="s">
        <v>871</v>
      </c>
      <c r="F253" s="1" t="s">
        <v>32</v>
      </c>
      <c r="G253" s="1" t="s">
        <v>20</v>
      </c>
      <c r="H253" s="1" t="s">
        <v>33</v>
      </c>
      <c r="I253" s="1" t="s">
        <v>22</v>
      </c>
      <c r="J253" s="1" t="s">
        <v>35</v>
      </c>
      <c r="K253" s="1" t="s">
        <v>36</v>
      </c>
      <c r="L253" s="1" t="s">
        <v>25</v>
      </c>
      <c r="M253" s="1" t="s">
        <v>36</v>
      </c>
      <c r="N253" s="1" t="s">
        <v>720</v>
      </c>
    </row>
    <row r="254" spans="1:14" x14ac:dyDescent="0.3">
      <c r="A254" s="1" t="s">
        <v>872</v>
      </c>
      <c r="B254" s="1" t="s">
        <v>873</v>
      </c>
      <c r="C254" s="1" t="s">
        <v>874</v>
      </c>
      <c r="D254" s="1" t="s">
        <v>306</v>
      </c>
      <c r="E254" s="1" t="s">
        <v>570</v>
      </c>
      <c r="F254" s="1" t="s">
        <v>32</v>
      </c>
      <c r="G254" s="1" t="s">
        <v>20</v>
      </c>
      <c r="H254" s="1" t="s">
        <v>43</v>
      </c>
      <c r="I254" s="1" t="s">
        <v>22</v>
      </c>
      <c r="J254" s="1" t="s">
        <v>50</v>
      </c>
      <c r="K254" s="1" t="s">
        <v>24</v>
      </c>
      <c r="L254" s="1" t="s">
        <v>25</v>
      </c>
      <c r="M254" s="1" t="s">
        <v>36</v>
      </c>
      <c r="N254" s="1" t="s">
        <v>87</v>
      </c>
    </row>
    <row r="255" spans="1:14" x14ac:dyDescent="0.3">
      <c r="A255" s="1" t="s">
        <v>875</v>
      </c>
      <c r="B255" s="1" t="s">
        <v>876</v>
      </c>
      <c r="C255" s="1" t="s">
        <v>16</v>
      </c>
      <c r="D255" s="1" t="s">
        <v>64</v>
      </c>
      <c r="E255" s="1" t="s">
        <v>65</v>
      </c>
      <c r="F255" s="1" t="s">
        <v>19</v>
      </c>
      <c r="G255" s="1" t="s">
        <v>20</v>
      </c>
      <c r="H255" s="1" t="s">
        <v>43</v>
      </c>
      <c r="I255" s="1" t="s">
        <v>22</v>
      </c>
      <c r="J255" s="1" t="s">
        <v>35</v>
      </c>
      <c r="K255" s="1" t="s">
        <v>36</v>
      </c>
      <c r="L255" s="1" t="s">
        <v>154</v>
      </c>
      <c r="M255" s="1" t="s">
        <v>36</v>
      </c>
      <c r="N255" s="1" t="s">
        <v>877</v>
      </c>
    </row>
    <row r="256" spans="1:14" x14ac:dyDescent="0.3">
      <c r="A256" s="1" t="s">
        <v>878</v>
      </c>
      <c r="B256" s="1" t="s">
        <v>879</v>
      </c>
      <c r="C256" s="1" t="s">
        <v>443</v>
      </c>
      <c r="D256" s="1" t="s">
        <v>880</v>
      </c>
      <c r="E256" s="1" t="s">
        <v>378</v>
      </c>
      <c r="F256" s="1" t="s">
        <v>32</v>
      </c>
      <c r="G256" s="1" t="s">
        <v>20</v>
      </c>
      <c r="H256" s="1" t="s">
        <v>66</v>
      </c>
      <c r="I256" s="1" t="s">
        <v>22</v>
      </c>
      <c r="J256" s="1" t="s">
        <v>35</v>
      </c>
      <c r="K256" s="1" t="s">
        <v>36</v>
      </c>
      <c r="L256" s="1" t="s">
        <v>25</v>
      </c>
      <c r="M256" s="1" t="s">
        <v>36</v>
      </c>
      <c r="N256" s="1" t="s">
        <v>840</v>
      </c>
    </row>
    <row r="257" spans="1:14" x14ac:dyDescent="0.3">
      <c r="A257" s="1" t="s">
        <v>881</v>
      </c>
      <c r="B257" s="1" t="s">
        <v>882</v>
      </c>
      <c r="C257" s="1" t="s">
        <v>16</v>
      </c>
      <c r="D257" s="1" t="s">
        <v>883</v>
      </c>
      <c r="E257" s="1" t="s">
        <v>56</v>
      </c>
      <c r="F257" s="1" t="s">
        <v>32</v>
      </c>
      <c r="G257" s="1" t="s">
        <v>20</v>
      </c>
      <c r="H257" s="1" t="s">
        <v>33</v>
      </c>
      <c r="I257" s="1" t="s">
        <v>34</v>
      </c>
      <c r="J257" s="1" t="s">
        <v>35</v>
      </c>
      <c r="K257" s="1" t="s">
        <v>36</v>
      </c>
      <c r="L257" s="1" t="s">
        <v>25</v>
      </c>
      <c r="M257" s="1" t="s">
        <v>36</v>
      </c>
      <c r="N257" s="1" t="s">
        <v>550</v>
      </c>
    </row>
    <row r="258" spans="1:14" x14ac:dyDescent="0.3">
      <c r="A258" s="1" t="s">
        <v>884</v>
      </c>
      <c r="B258" s="1" t="s">
        <v>885</v>
      </c>
      <c r="C258" s="1" t="s">
        <v>178</v>
      </c>
      <c r="D258" s="1" t="s">
        <v>84</v>
      </c>
      <c r="E258" s="1" t="s">
        <v>147</v>
      </c>
      <c r="F258" s="1" t="s">
        <v>19</v>
      </c>
      <c r="G258" s="1" t="s">
        <v>20</v>
      </c>
      <c r="H258" s="1" t="s">
        <v>105</v>
      </c>
      <c r="I258" s="1" t="s">
        <v>22</v>
      </c>
      <c r="J258" s="1" t="s">
        <v>23</v>
      </c>
      <c r="K258" s="1" t="s">
        <v>36</v>
      </c>
      <c r="L258" s="1" t="s">
        <v>477</v>
      </c>
      <c r="M258" s="1" t="s">
        <v>36</v>
      </c>
      <c r="N258" s="1" t="s">
        <v>180</v>
      </c>
    </row>
    <row r="259" spans="1:14" x14ac:dyDescent="0.3">
      <c r="A259" s="1" t="s">
        <v>886</v>
      </c>
      <c r="B259" s="1" t="s">
        <v>887</v>
      </c>
      <c r="C259" s="1" t="s">
        <v>870</v>
      </c>
      <c r="D259" s="1" t="s">
        <v>70</v>
      </c>
      <c r="E259" s="1" t="s">
        <v>632</v>
      </c>
      <c r="F259" s="1" t="s">
        <v>32</v>
      </c>
      <c r="G259" s="1" t="s">
        <v>20</v>
      </c>
      <c r="H259" s="1" t="s">
        <v>105</v>
      </c>
      <c r="I259" s="1" t="s">
        <v>22</v>
      </c>
      <c r="J259" s="1" t="s">
        <v>35</v>
      </c>
      <c r="K259" s="1" t="s">
        <v>36</v>
      </c>
      <c r="L259" s="1" t="s">
        <v>449</v>
      </c>
      <c r="M259" s="1" t="s">
        <v>36</v>
      </c>
      <c r="N259" s="1" t="s">
        <v>602</v>
      </c>
    </row>
    <row r="260" spans="1:14" x14ac:dyDescent="0.3">
      <c r="A260" s="1" t="s">
        <v>888</v>
      </c>
      <c r="B260" s="1" t="s">
        <v>889</v>
      </c>
      <c r="C260" s="1" t="s">
        <v>890</v>
      </c>
      <c r="D260" s="1" t="s">
        <v>635</v>
      </c>
      <c r="E260" s="1" t="s">
        <v>206</v>
      </c>
      <c r="F260" s="1" t="s">
        <v>32</v>
      </c>
      <c r="G260" s="1" t="s">
        <v>20</v>
      </c>
      <c r="H260" s="1" t="s">
        <v>33</v>
      </c>
      <c r="I260" s="1" t="s">
        <v>22</v>
      </c>
      <c r="J260" s="1" t="s">
        <v>35</v>
      </c>
      <c r="K260" s="1" t="s">
        <v>24</v>
      </c>
      <c r="L260" s="1" t="s">
        <v>25</v>
      </c>
      <c r="M260" s="1" t="s">
        <v>36</v>
      </c>
      <c r="N260" s="1" t="s">
        <v>891</v>
      </c>
    </row>
    <row r="261" spans="1:14" x14ac:dyDescent="0.3">
      <c r="A261" s="1" t="s">
        <v>892</v>
      </c>
      <c r="B261" s="1" t="s">
        <v>893</v>
      </c>
      <c r="C261" s="1" t="s">
        <v>29</v>
      </c>
      <c r="D261" s="1" t="s">
        <v>84</v>
      </c>
      <c r="E261" s="1" t="s">
        <v>42</v>
      </c>
      <c r="F261" s="1" t="s">
        <v>32</v>
      </c>
      <c r="G261" s="1" t="s">
        <v>20</v>
      </c>
      <c r="H261" s="1" t="s">
        <v>243</v>
      </c>
      <c r="I261" s="1" t="s">
        <v>211</v>
      </c>
      <c r="J261" s="1" t="s">
        <v>23</v>
      </c>
      <c r="K261" s="1" t="s">
        <v>24</v>
      </c>
      <c r="L261" s="1" t="s">
        <v>25</v>
      </c>
      <c r="M261" s="1" t="s">
        <v>24</v>
      </c>
      <c r="N261" s="1" t="s">
        <v>106</v>
      </c>
    </row>
    <row r="262" spans="1:14" x14ac:dyDescent="0.3">
      <c r="A262" s="1" t="s">
        <v>894</v>
      </c>
      <c r="B262" s="1" t="s">
        <v>895</v>
      </c>
      <c r="C262" s="1" t="s">
        <v>16</v>
      </c>
      <c r="D262" s="1" t="s">
        <v>537</v>
      </c>
      <c r="E262" s="1" t="s">
        <v>65</v>
      </c>
      <c r="F262" s="1" t="s">
        <v>19</v>
      </c>
      <c r="G262" s="1" t="s">
        <v>20</v>
      </c>
      <c r="H262" s="1" t="s">
        <v>135</v>
      </c>
      <c r="I262" s="1" t="s">
        <v>34</v>
      </c>
      <c r="J262" s="1" t="s">
        <v>23</v>
      </c>
      <c r="K262" s="1" t="s">
        <v>24</v>
      </c>
      <c r="L262" s="1" t="s">
        <v>72</v>
      </c>
      <c r="M262" s="1" t="s">
        <v>24</v>
      </c>
      <c r="N262" s="1" t="s">
        <v>221</v>
      </c>
    </row>
    <row r="263" spans="1:14" x14ac:dyDescent="0.3">
      <c r="A263" s="1" t="s">
        <v>896</v>
      </c>
      <c r="B263" s="1" t="s">
        <v>897</v>
      </c>
      <c r="C263" s="1" t="s">
        <v>126</v>
      </c>
      <c r="D263" s="1" t="s">
        <v>64</v>
      </c>
      <c r="E263" s="1" t="s">
        <v>71</v>
      </c>
      <c r="F263" s="1" t="s">
        <v>19</v>
      </c>
      <c r="G263" s="1" t="s">
        <v>20</v>
      </c>
      <c r="H263" s="1" t="s">
        <v>322</v>
      </c>
      <c r="I263" s="1" t="s">
        <v>22</v>
      </c>
      <c r="J263" s="1" t="s">
        <v>35</v>
      </c>
      <c r="K263" s="1" t="s">
        <v>24</v>
      </c>
      <c r="L263" s="1" t="s">
        <v>25</v>
      </c>
      <c r="M263" s="1" t="s">
        <v>24</v>
      </c>
      <c r="N263" s="1" t="s">
        <v>538</v>
      </c>
    </row>
    <row r="264" spans="1:14" x14ac:dyDescent="0.3">
      <c r="A264" s="1" t="s">
        <v>898</v>
      </c>
      <c r="B264" s="1" t="s">
        <v>899</v>
      </c>
      <c r="C264" s="1" t="s">
        <v>657</v>
      </c>
      <c r="D264" s="1" t="s">
        <v>702</v>
      </c>
      <c r="E264" s="1" t="s">
        <v>256</v>
      </c>
      <c r="F264" s="1" t="s">
        <v>32</v>
      </c>
      <c r="G264" s="1" t="s">
        <v>20</v>
      </c>
      <c r="H264" s="1" t="s">
        <v>33</v>
      </c>
      <c r="I264" s="1" t="s">
        <v>22</v>
      </c>
      <c r="J264" s="1" t="s">
        <v>35</v>
      </c>
      <c r="K264" s="1" t="s">
        <v>24</v>
      </c>
      <c r="L264" s="1" t="s">
        <v>72</v>
      </c>
      <c r="M264" s="1" t="s">
        <v>36</v>
      </c>
      <c r="N264" s="1" t="s">
        <v>900</v>
      </c>
    </row>
    <row r="265" spans="1:14" x14ac:dyDescent="0.3">
      <c r="A265" s="1" t="s">
        <v>901</v>
      </c>
      <c r="B265" s="1" t="s">
        <v>902</v>
      </c>
      <c r="C265" s="1" t="s">
        <v>16</v>
      </c>
      <c r="D265" s="1" t="s">
        <v>458</v>
      </c>
      <c r="E265" s="1" t="s">
        <v>147</v>
      </c>
      <c r="F265" s="1" t="s">
        <v>32</v>
      </c>
      <c r="G265" s="1" t="s">
        <v>20</v>
      </c>
      <c r="H265" s="1" t="s">
        <v>21</v>
      </c>
      <c r="I265" s="1" t="s">
        <v>22</v>
      </c>
      <c r="J265" s="1" t="s">
        <v>23</v>
      </c>
      <c r="K265" s="1" t="s">
        <v>24</v>
      </c>
      <c r="L265" s="1" t="s">
        <v>25</v>
      </c>
      <c r="M265" s="1" t="s">
        <v>24</v>
      </c>
      <c r="N265" s="1" t="s">
        <v>903</v>
      </c>
    </row>
    <row r="266" spans="1:14" x14ac:dyDescent="0.3">
      <c r="A266" s="1" t="s">
        <v>904</v>
      </c>
      <c r="B266" s="1" t="s">
        <v>905</v>
      </c>
      <c r="C266" s="1" t="s">
        <v>84</v>
      </c>
      <c r="D266" s="1" t="s">
        <v>146</v>
      </c>
      <c r="E266" s="1" t="s">
        <v>18</v>
      </c>
      <c r="F266" s="1" t="s">
        <v>32</v>
      </c>
      <c r="G266" s="1" t="s">
        <v>20</v>
      </c>
      <c r="H266" s="1" t="s">
        <v>33</v>
      </c>
      <c r="I266" s="1" t="s">
        <v>34</v>
      </c>
      <c r="J266" s="1" t="s">
        <v>35</v>
      </c>
      <c r="K266" s="1" t="s">
        <v>24</v>
      </c>
      <c r="L266" s="1" t="s">
        <v>25</v>
      </c>
      <c r="M266" s="1" t="s">
        <v>36</v>
      </c>
      <c r="N266" s="1" t="s">
        <v>906</v>
      </c>
    </row>
    <row r="267" spans="1:14" x14ac:dyDescent="0.3">
      <c r="A267" s="1" t="s">
        <v>907</v>
      </c>
      <c r="B267" s="1" t="s">
        <v>908</v>
      </c>
      <c r="C267" s="1" t="s">
        <v>63</v>
      </c>
      <c r="D267" s="1" t="s">
        <v>458</v>
      </c>
      <c r="E267" s="1" t="s">
        <v>147</v>
      </c>
      <c r="F267" s="1" t="s">
        <v>32</v>
      </c>
      <c r="G267" s="1" t="s">
        <v>20</v>
      </c>
      <c r="H267" s="1" t="s">
        <v>33</v>
      </c>
      <c r="I267" s="1" t="s">
        <v>34</v>
      </c>
      <c r="J267" s="1" t="s">
        <v>35</v>
      </c>
      <c r="K267" s="1" t="s">
        <v>36</v>
      </c>
      <c r="L267" s="1" t="s">
        <v>25</v>
      </c>
      <c r="M267" s="1" t="s">
        <v>36</v>
      </c>
      <c r="N267" s="1" t="s">
        <v>67</v>
      </c>
    </row>
    <row r="268" spans="1:14" x14ac:dyDescent="0.3">
      <c r="A268" s="1" t="s">
        <v>909</v>
      </c>
      <c r="B268" s="1" t="s">
        <v>910</v>
      </c>
      <c r="C268" s="1" t="s">
        <v>29</v>
      </c>
      <c r="D268" s="1" t="s">
        <v>116</v>
      </c>
      <c r="E268" s="1" t="s">
        <v>31</v>
      </c>
      <c r="F268" s="1" t="s">
        <v>32</v>
      </c>
      <c r="G268" s="1" t="s">
        <v>20</v>
      </c>
      <c r="H268" s="1" t="s">
        <v>322</v>
      </c>
      <c r="I268" s="1" t="s">
        <v>34</v>
      </c>
      <c r="J268" s="1" t="s">
        <v>35</v>
      </c>
      <c r="K268" s="1" t="s">
        <v>24</v>
      </c>
      <c r="L268" s="1" t="s">
        <v>72</v>
      </c>
      <c r="M268" s="1" t="s">
        <v>36</v>
      </c>
      <c r="N268" s="1" t="s">
        <v>911</v>
      </c>
    </row>
    <row r="269" spans="1:14" x14ac:dyDescent="0.3">
      <c r="A269" s="1" t="s">
        <v>912</v>
      </c>
      <c r="B269" s="1" t="s">
        <v>173</v>
      </c>
      <c r="C269" s="1" t="s">
        <v>84</v>
      </c>
      <c r="D269" s="1" t="s">
        <v>55</v>
      </c>
      <c r="E269" s="1" t="s">
        <v>455</v>
      </c>
      <c r="F269" s="1" t="s">
        <v>32</v>
      </c>
      <c r="G269" s="1" t="s">
        <v>20</v>
      </c>
      <c r="H269" s="1" t="s">
        <v>66</v>
      </c>
      <c r="I269" s="1" t="s">
        <v>22</v>
      </c>
      <c r="J269" s="1" t="s">
        <v>50</v>
      </c>
      <c r="K269" s="1" t="s">
        <v>36</v>
      </c>
      <c r="L269" s="1" t="s">
        <v>25</v>
      </c>
      <c r="M269" s="1" t="s">
        <v>36</v>
      </c>
      <c r="N269" s="1" t="s">
        <v>148</v>
      </c>
    </row>
    <row r="270" spans="1:14" x14ac:dyDescent="0.3">
      <c r="A270" s="1" t="s">
        <v>913</v>
      </c>
      <c r="B270" s="1" t="s">
        <v>899</v>
      </c>
      <c r="C270" s="1" t="s">
        <v>914</v>
      </c>
      <c r="D270" s="1" t="s">
        <v>590</v>
      </c>
      <c r="E270" s="1" t="s">
        <v>270</v>
      </c>
      <c r="F270" s="1" t="s">
        <v>32</v>
      </c>
      <c r="G270" s="1" t="s">
        <v>20</v>
      </c>
      <c r="H270" s="1" t="s">
        <v>33</v>
      </c>
      <c r="I270" s="1" t="s">
        <v>22</v>
      </c>
      <c r="J270" s="1" t="s">
        <v>35</v>
      </c>
      <c r="K270" s="1" t="s">
        <v>24</v>
      </c>
      <c r="L270" s="1" t="s">
        <v>72</v>
      </c>
      <c r="M270" s="1" t="s">
        <v>36</v>
      </c>
      <c r="N270" s="1" t="s">
        <v>900</v>
      </c>
    </row>
    <row r="271" spans="1:14" x14ac:dyDescent="0.3">
      <c r="A271" s="1" t="s">
        <v>915</v>
      </c>
      <c r="B271" s="1" t="s">
        <v>916</v>
      </c>
      <c r="C271" s="1" t="s">
        <v>914</v>
      </c>
      <c r="D271" s="1" t="s">
        <v>335</v>
      </c>
      <c r="E271" s="1" t="s">
        <v>353</v>
      </c>
      <c r="F271" s="1" t="s">
        <v>32</v>
      </c>
      <c r="G271" s="1" t="s">
        <v>20</v>
      </c>
      <c r="H271" s="1" t="s">
        <v>243</v>
      </c>
      <c r="I271" s="1" t="s">
        <v>34</v>
      </c>
      <c r="J271" s="1" t="s">
        <v>50</v>
      </c>
      <c r="K271" s="1" t="s">
        <v>24</v>
      </c>
      <c r="L271" s="1" t="s">
        <v>25</v>
      </c>
      <c r="M271" s="1" t="s">
        <v>24</v>
      </c>
      <c r="N271" s="1" t="s">
        <v>216</v>
      </c>
    </row>
    <row r="272" spans="1:14" x14ac:dyDescent="0.3">
      <c r="A272" s="1" t="s">
        <v>917</v>
      </c>
      <c r="B272" s="1" t="s">
        <v>548</v>
      </c>
      <c r="C272" s="1" t="s">
        <v>16</v>
      </c>
      <c r="D272" s="1" t="s">
        <v>918</v>
      </c>
      <c r="E272" s="1" t="s">
        <v>110</v>
      </c>
      <c r="F272" s="1" t="s">
        <v>32</v>
      </c>
      <c r="G272" s="1" t="s">
        <v>20</v>
      </c>
      <c r="H272" s="1" t="s">
        <v>33</v>
      </c>
      <c r="I272" s="1" t="s">
        <v>34</v>
      </c>
      <c r="J272" s="1" t="s">
        <v>35</v>
      </c>
      <c r="K272" s="1" t="s">
        <v>36</v>
      </c>
      <c r="L272" s="1" t="s">
        <v>25</v>
      </c>
      <c r="M272" s="1" t="s">
        <v>919</v>
      </c>
      <c r="N272" s="1" t="s">
        <v>550</v>
      </c>
    </row>
    <row r="273" spans="1:14" x14ac:dyDescent="0.3">
      <c r="A273" s="1" t="s">
        <v>920</v>
      </c>
      <c r="B273" s="1" t="s">
        <v>899</v>
      </c>
      <c r="C273" s="1" t="s">
        <v>415</v>
      </c>
      <c r="D273" s="1" t="s">
        <v>921</v>
      </c>
      <c r="E273" s="1" t="s">
        <v>739</v>
      </c>
      <c r="F273" s="1" t="s">
        <v>32</v>
      </c>
      <c r="G273" s="1" t="s">
        <v>20</v>
      </c>
      <c r="H273" s="1" t="s">
        <v>33</v>
      </c>
      <c r="I273" s="1" t="s">
        <v>22</v>
      </c>
      <c r="J273" s="1" t="s">
        <v>35</v>
      </c>
      <c r="K273" s="1" t="s">
        <v>24</v>
      </c>
      <c r="L273" s="1" t="s">
        <v>72</v>
      </c>
      <c r="M273" s="1" t="s">
        <v>36</v>
      </c>
      <c r="N273" s="1" t="s">
        <v>900</v>
      </c>
    </row>
    <row r="274" spans="1:14" x14ac:dyDescent="0.3">
      <c r="A274" s="1" t="s">
        <v>922</v>
      </c>
      <c r="B274" s="1" t="s">
        <v>923</v>
      </c>
      <c r="C274" s="1" t="s">
        <v>16</v>
      </c>
      <c r="D274" s="1" t="s">
        <v>70</v>
      </c>
      <c r="E274" s="1" t="s">
        <v>71</v>
      </c>
      <c r="F274" s="1" t="s">
        <v>32</v>
      </c>
      <c r="G274" s="1" t="s">
        <v>20</v>
      </c>
      <c r="H274" s="1" t="s">
        <v>33</v>
      </c>
      <c r="I274" s="1" t="s">
        <v>22</v>
      </c>
      <c r="J274" s="1" t="s">
        <v>326</v>
      </c>
      <c r="K274" s="1" t="s">
        <v>24</v>
      </c>
      <c r="L274" s="1" t="s">
        <v>72</v>
      </c>
      <c r="M274" s="1" t="s">
        <v>36</v>
      </c>
      <c r="N274" s="1" t="s">
        <v>73</v>
      </c>
    </row>
    <row r="275" spans="1:14" x14ac:dyDescent="0.3">
      <c r="A275" s="1" t="s">
        <v>924</v>
      </c>
      <c r="B275" s="1" t="s">
        <v>925</v>
      </c>
      <c r="C275" s="1" t="s">
        <v>47</v>
      </c>
      <c r="D275" s="1" t="s">
        <v>64</v>
      </c>
      <c r="E275" s="1" t="s">
        <v>56</v>
      </c>
      <c r="F275" s="1" t="s">
        <v>32</v>
      </c>
      <c r="G275" s="1" t="s">
        <v>20</v>
      </c>
      <c r="H275" s="1" t="s">
        <v>33</v>
      </c>
      <c r="I275" s="1" t="s">
        <v>34</v>
      </c>
      <c r="J275" s="1" t="s">
        <v>35</v>
      </c>
      <c r="K275" s="1" t="s">
        <v>36</v>
      </c>
      <c r="L275" s="1" t="s">
        <v>25</v>
      </c>
      <c r="M275" s="1" t="s">
        <v>36</v>
      </c>
      <c r="N275" s="1" t="s">
        <v>57</v>
      </c>
    </row>
    <row r="276" spans="1:14" x14ac:dyDescent="0.3">
      <c r="A276" s="1" t="s">
        <v>926</v>
      </c>
      <c r="B276" s="1" t="s">
        <v>862</v>
      </c>
      <c r="C276" s="1" t="s">
        <v>63</v>
      </c>
      <c r="D276" s="1" t="s">
        <v>235</v>
      </c>
      <c r="E276" s="1" t="s">
        <v>187</v>
      </c>
      <c r="F276" s="1" t="s">
        <v>32</v>
      </c>
      <c r="G276" s="1" t="s">
        <v>20</v>
      </c>
      <c r="H276" s="1" t="s">
        <v>43</v>
      </c>
      <c r="I276" s="1" t="s">
        <v>22</v>
      </c>
      <c r="J276" s="1" t="s">
        <v>50</v>
      </c>
      <c r="K276" s="1" t="s">
        <v>24</v>
      </c>
      <c r="L276" s="1" t="s">
        <v>72</v>
      </c>
      <c r="M276" s="1" t="s">
        <v>36</v>
      </c>
      <c r="N276" s="1" t="s">
        <v>87</v>
      </c>
    </row>
    <row r="277" spans="1:14" x14ac:dyDescent="0.3">
      <c r="A277" s="1" t="s">
        <v>927</v>
      </c>
      <c r="B277" s="1" t="s">
        <v>899</v>
      </c>
      <c r="C277" s="1" t="s">
        <v>126</v>
      </c>
      <c r="D277" s="1" t="s">
        <v>928</v>
      </c>
      <c r="E277" s="1" t="s">
        <v>210</v>
      </c>
      <c r="F277" s="1" t="s">
        <v>32</v>
      </c>
      <c r="G277" s="1" t="s">
        <v>20</v>
      </c>
      <c r="H277" s="1" t="s">
        <v>33</v>
      </c>
      <c r="I277" s="1" t="s">
        <v>22</v>
      </c>
      <c r="J277" s="1" t="s">
        <v>35</v>
      </c>
      <c r="K277" s="1" t="s">
        <v>24</v>
      </c>
      <c r="L277" s="1" t="s">
        <v>72</v>
      </c>
      <c r="M277" s="1" t="s">
        <v>36</v>
      </c>
      <c r="N277" s="1" t="s">
        <v>900</v>
      </c>
    </row>
    <row r="278" spans="1:14" x14ac:dyDescent="0.3">
      <c r="A278" s="1" t="s">
        <v>929</v>
      </c>
      <c r="B278" s="1" t="s">
        <v>930</v>
      </c>
      <c r="C278" s="1" t="s">
        <v>47</v>
      </c>
      <c r="D278" s="1" t="s">
        <v>205</v>
      </c>
      <c r="E278" s="1" t="s">
        <v>56</v>
      </c>
      <c r="F278" s="1" t="s">
        <v>32</v>
      </c>
      <c r="G278" s="1" t="s">
        <v>20</v>
      </c>
      <c r="H278" s="1" t="s">
        <v>21</v>
      </c>
      <c r="I278" s="1" t="s">
        <v>34</v>
      </c>
      <c r="J278" s="1" t="s">
        <v>50</v>
      </c>
      <c r="K278" s="1" t="s">
        <v>36</v>
      </c>
      <c r="L278" s="1" t="s">
        <v>72</v>
      </c>
      <c r="M278" s="1" t="s">
        <v>24</v>
      </c>
      <c r="N278" s="1" t="s">
        <v>931</v>
      </c>
    </row>
    <row r="279" spans="1:14" x14ac:dyDescent="0.3">
      <c r="A279" s="1" t="s">
        <v>932</v>
      </c>
      <c r="B279" s="1" t="s">
        <v>586</v>
      </c>
      <c r="C279" s="1" t="s">
        <v>933</v>
      </c>
      <c r="D279" s="1" t="s">
        <v>116</v>
      </c>
      <c r="E279" s="1" t="s">
        <v>31</v>
      </c>
      <c r="F279" s="1" t="s">
        <v>32</v>
      </c>
      <c r="G279" s="1" t="s">
        <v>20</v>
      </c>
      <c r="H279" s="1" t="s">
        <v>98</v>
      </c>
      <c r="I279" s="1" t="s">
        <v>34</v>
      </c>
      <c r="J279" s="1" t="s">
        <v>35</v>
      </c>
      <c r="K279" s="1" t="s">
        <v>36</v>
      </c>
      <c r="L279" s="1" t="s">
        <v>25</v>
      </c>
      <c r="M279" s="1" t="s">
        <v>36</v>
      </c>
      <c r="N279" s="1" t="s">
        <v>38</v>
      </c>
    </row>
    <row r="280" spans="1:14" x14ac:dyDescent="0.3">
      <c r="A280" s="1" t="s">
        <v>934</v>
      </c>
      <c r="B280" s="1" t="s">
        <v>935</v>
      </c>
      <c r="C280" s="1" t="s">
        <v>16</v>
      </c>
      <c r="D280" s="1" t="s">
        <v>30</v>
      </c>
      <c r="E280" s="1" t="s">
        <v>506</v>
      </c>
      <c r="F280" s="1" t="s">
        <v>19</v>
      </c>
      <c r="G280" s="1" t="s">
        <v>20</v>
      </c>
      <c r="H280" s="1" t="s">
        <v>91</v>
      </c>
      <c r="I280" s="1" t="s">
        <v>22</v>
      </c>
      <c r="J280" s="1" t="s">
        <v>23</v>
      </c>
      <c r="K280" s="1" t="s">
        <v>24</v>
      </c>
      <c r="L280" s="1" t="s">
        <v>72</v>
      </c>
      <c r="M280" s="1" t="s">
        <v>183</v>
      </c>
      <c r="N280" s="1" t="s">
        <v>73</v>
      </c>
    </row>
    <row r="281" spans="1:14" x14ac:dyDescent="0.3">
      <c r="A281" s="1" t="s">
        <v>936</v>
      </c>
      <c r="B281" s="1" t="s">
        <v>937</v>
      </c>
      <c r="C281" s="1" t="s">
        <v>16</v>
      </c>
      <c r="D281" s="1" t="s">
        <v>30</v>
      </c>
      <c r="E281" s="1" t="s">
        <v>506</v>
      </c>
      <c r="F281" s="1" t="s">
        <v>32</v>
      </c>
      <c r="G281" s="1" t="s">
        <v>20</v>
      </c>
      <c r="H281" s="1" t="s">
        <v>135</v>
      </c>
      <c r="I281" s="1" t="s">
        <v>34</v>
      </c>
      <c r="J281" s="1" t="s">
        <v>23</v>
      </c>
      <c r="K281" s="1" t="s">
        <v>24</v>
      </c>
      <c r="L281" s="1" t="s">
        <v>25</v>
      </c>
      <c r="M281" s="1" t="s">
        <v>36</v>
      </c>
      <c r="N281" s="1" t="s">
        <v>938</v>
      </c>
    </row>
    <row r="282" spans="1:14" x14ac:dyDescent="0.3">
      <c r="A282" s="1" t="s">
        <v>939</v>
      </c>
      <c r="B282" s="1" t="s">
        <v>805</v>
      </c>
      <c r="C282" s="1" t="s">
        <v>29</v>
      </c>
      <c r="D282" s="1" t="s">
        <v>116</v>
      </c>
      <c r="E282" s="1" t="s">
        <v>31</v>
      </c>
      <c r="F282" s="1" t="s">
        <v>32</v>
      </c>
      <c r="G282" s="1" t="s">
        <v>20</v>
      </c>
      <c r="H282" s="1" t="s">
        <v>33</v>
      </c>
      <c r="I282" s="1" t="s">
        <v>34</v>
      </c>
      <c r="J282" s="1" t="s">
        <v>35</v>
      </c>
      <c r="K282" s="1" t="s">
        <v>36</v>
      </c>
      <c r="L282" s="1" t="s">
        <v>25</v>
      </c>
      <c r="M282" s="1" t="s">
        <v>36</v>
      </c>
      <c r="N282" s="1" t="s">
        <v>38</v>
      </c>
    </row>
    <row r="283" spans="1:14" x14ac:dyDescent="0.3">
      <c r="A283" s="1" t="s">
        <v>940</v>
      </c>
      <c r="B283" s="1" t="s">
        <v>424</v>
      </c>
      <c r="C283" s="1" t="s">
        <v>84</v>
      </c>
      <c r="D283" s="1" t="s">
        <v>941</v>
      </c>
      <c r="E283" s="1" t="s">
        <v>104</v>
      </c>
      <c r="F283" s="1" t="s">
        <v>19</v>
      </c>
      <c r="G283" s="1" t="s">
        <v>20</v>
      </c>
      <c r="H283" s="1" t="s">
        <v>33</v>
      </c>
      <c r="I283" s="1" t="s">
        <v>34</v>
      </c>
      <c r="J283" s="1" t="s">
        <v>35</v>
      </c>
      <c r="K283" s="1" t="s">
        <v>36</v>
      </c>
      <c r="L283" s="1" t="s">
        <v>25</v>
      </c>
      <c r="M283" s="1" t="s">
        <v>36</v>
      </c>
      <c r="N283" s="1" t="s">
        <v>427</v>
      </c>
    </row>
    <row r="284" spans="1:14" x14ac:dyDescent="0.3">
      <c r="A284" s="1" t="s">
        <v>942</v>
      </c>
      <c r="B284" s="1" t="s">
        <v>943</v>
      </c>
      <c r="C284" s="1" t="s">
        <v>174</v>
      </c>
      <c r="D284" s="1" t="s">
        <v>17</v>
      </c>
      <c r="E284" s="1" t="s">
        <v>944</v>
      </c>
      <c r="F284" s="1" t="s">
        <v>32</v>
      </c>
      <c r="G284" s="1" t="s">
        <v>20</v>
      </c>
      <c r="H284" s="1" t="s">
        <v>243</v>
      </c>
      <c r="I284" s="1" t="s">
        <v>34</v>
      </c>
      <c r="J284" s="1" t="s">
        <v>23</v>
      </c>
      <c r="K284" s="1" t="s">
        <v>24</v>
      </c>
      <c r="L284" s="1" t="s">
        <v>25</v>
      </c>
      <c r="M284" s="1" t="s">
        <v>24</v>
      </c>
      <c r="N284" s="1" t="s">
        <v>106</v>
      </c>
    </row>
    <row r="285" spans="1:14" x14ac:dyDescent="0.3">
      <c r="A285" s="1" t="s">
        <v>945</v>
      </c>
      <c r="B285" s="1" t="s">
        <v>946</v>
      </c>
      <c r="C285" s="1" t="s">
        <v>16</v>
      </c>
      <c r="D285" s="1" t="s">
        <v>947</v>
      </c>
      <c r="E285" s="1" t="s">
        <v>49</v>
      </c>
      <c r="F285" s="1" t="s">
        <v>32</v>
      </c>
      <c r="G285" s="1" t="s">
        <v>20</v>
      </c>
      <c r="H285" s="1" t="s">
        <v>43</v>
      </c>
      <c r="I285" s="1" t="s">
        <v>22</v>
      </c>
      <c r="J285" s="1" t="s">
        <v>35</v>
      </c>
      <c r="K285" s="1" t="s">
        <v>36</v>
      </c>
      <c r="L285" s="1" t="s">
        <v>25</v>
      </c>
      <c r="M285" s="1" t="s">
        <v>36</v>
      </c>
      <c r="N285" s="1" t="s">
        <v>789</v>
      </c>
    </row>
    <row r="286" spans="1:14" x14ac:dyDescent="0.3">
      <c r="A286" s="1" t="s">
        <v>948</v>
      </c>
      <c r="B286" s="1" t="s">
        <v>949</v>
      </c>
      <c r="C286" s="1" t="s">
        <v>84</v>
      </c>
      <c r="D286" s="1" t="s">
        <v>205</v>
      </c>
      <c r="E286" s="1" t="s">
        <v>522</v>
      </c>
      <c r="F286" s="1" t="s">
        <v>32</v>
      </c>
      <c r="G286" s="1" t="s">
        <v>20</v>
      </c>
      <c r="H286" s="1" t="s">
        <v>21</v>
      </c>
      <c r="I286" s="1" t="s">
        <v>34</v>
      </c>
      <c r="J286" s="1" t="s">
        <v>35</v>
      </c>
      <c r="K286" s="1" t="s">
        <v>36</v>
      </c>
      <c r="L286" s="1" t="s">
        <v>72</v>
      </c>
      <c r="M286" s="1" t="s">
        <v>24</v>
      </c>
      <c r="N286" s="1" t="s">
        <v>294</v>
      </c>
    </row>
    <row r="287" spans="1:14" x14ac:dyDescent="0.3">
      <c r="A287" s="1" t="s">
        <v>950</v>
      </c>
      <c r="B287" s="1" t="s">
        <v>951</v>
      </c>
      <c r="C287" s="1" t="s">
        <v>126</v>
      </c>
      <c r="D287" s="1" t="s">
        <v>952</v>
      </c>
      <c r="E287" s="1" t="s">
        <v>18</v>
      </c>
      <c r="F287" s="1" t="s">
        <v>32</v>
      </c>
      <c r="G287" s="1" t="s">
        <v>20</v>
      </c>
      <c r="H287" s="1" t="s">
        <v>66</v>
      </c>
      <c r="I287" s="1" t="s">
        <v>22</v>
      </c>
      <c r="J287" s="1" t="s">
        <v>50</v>
      </c>
      <c r="K287" s="1" t="s">
        <v>24</v>
      </c>
      <c r="L287" s="1" t="s">
        <v>25</v>
      </c>
      <c r="M287" s="1" t="s">
        <v>36</v>
      </c>
      <c r="N287" s="1" t="s">
        <v>87</v>
      </c>
    </row>
    <row r="288" spans="1:14" x14ac:dyDescent="0.3">
      <c r="A288" s="1" t="s">
        <v>953</v>
      </c>
      <c r="B288" s="1" t="s">
        <v>954</v>
      </c>
      <c r="C288" s="1" t="s">
        <v>16</v>
      </c>
      <c r="D288" s="1" t="s">
        <v>70</v>
      </c>
      <c r="E288" s="1" t="s">
        <v>71</v>
      </c>
      <c r="F288" s="1" t="s">
        <v>32</v>
      </c>
      <c r="G288" s="1" t="s">
        <v>20</v>
      </c>
      <c r="H288" s="1" t="s">
        <v>43</v>
      </c>
      <c r="I288" s="1" t="s">
        <v>34</v>
      </c>
      <c r="J288" s="1" t="s">
        <v>35</v>
      </c>
      <c r="K288" s="1" t="s">
        <v>36</v>
      </c>
      <c r="L288" s="1" t="s">
        <v>72</v>
      </c>
      <c r="M288" s="1" t="s">
        <v>36</v>
      </c>
      <c r="N288" s="1" t="s">
        <v>73</v>
      </c>
    </row>
    <row r="289" spans="1:14" x14ac:dyDescent="0.3">
      <c r="A289" s="1" t="s">
        <v>955</v>
      </c>
      <c r="B289" s="1" t="s">
        <v>956</v>
      </c>
      <c r="C289" s="1" t="s">
        <v>957</v>
      </c>
      <c r="D289" s="1" t="s">
        <v>458</v>
      </c>
      <c r="E289" s="1" t="s">
        <v>359</v>
      </c>
      <c r="F289" s="1" t="s">
        <v>32</v>
      </c>
      <c r="G289" s="1" t="s">
        <v>20</v>
      </c>
      <c r="H289" s="1" t="s">
        <v>135</v>
      </c>
      <c r="I289" s="1" t="s">
        <v>34</v>
      </c>
      <c r="J289" s="1" t="s">
        <v>50</v>
      </c>
      <c r="K289" s="1" t="s">
        <v>24</v>
      </c>
      <c r="L289" s="1" t="s">
        <v>25</v>
      </c>
      <c r="M289" s="1" t="s">
        <v>36</v>
      </c>
      <c r="N289" s="1" t="s">
        <v>958</v>
      </c>
    </row>
    <row r="290" spans="1:14" x14ac:dyDescent="0.3">
      <c r="A290" s="1" t="s">
        <v>959</v>
      </c>
      <c r="B290" s="1" t="s">
        <v>960</v>
      </c>
      <c r="C290" s="1" t="s">
        <v>961</v>
      </c>
      <c r="D290" s="1" t="s">
        <v>76</v>
      </c>
      <c r="E290" s="1" t="s">
        <v>236</v>
      </c>
      <c r="F290" s="1" t="s">
        <v>32</v>
      </c>
      <c r="G290" s="1" t="s">
        <v>20</v>
      </c>
      <c r="H290" s="1" t="s">
        <v>98</v>
      </c>
      <c r="I290" s="1" t="s">
        <v>34</v>
      </c>
      <c r="J290" s="1" t="s">
        <v>35</v>
      </c>
      <c r="K290" s="1" t="s">
        <v>36</v>
      </c>
      <c r="L290" s="1" t="s">
        <v>111</v>
      </c>
      <c r="M290" s="1" t="s">
        <v>36</v>
      </c>
      <c r="N290" s="1" t="s">
        <v>962</v>
      </c>
    </row>
    <row r="291" spans="1:14" x14ac:dyDescent="0.3">
      <c r="A291" s="1" t="s">
        <v>963</v>
      </c>
      <c r="B291" s="1" t="s">
        <v>964</v>
      </c>
      <c r="C291" s="1" t="s">
        <v>965</v>
      </c>
      <c r="D291" s="1" t="s">
        <v>356</v>
      </c>
      <c r="E291" s="1" t="s">
        <v>175</v>
      </c>
      <c r="F291" s="1" t="s">
        <v>32</v>
      </c>
      <c r="G291" s="1" t="s">
        <v>20</v>
      </c>
      <c r="H291" s="1" t="s">
        <v>66</v>
      </c>
      <c r="I291" s="1" t="s">
        <v>22</v>
      </c>
      <c r="J291" s="1" t="s">
        <v>35</v>
      </c>
      <c r="K291" s="1" t="s">
        <v>24</v>
      </c>
      <c r="L291" s="1" t="s">
        <v>966</v>
      </c>
      <c r="M291" s="1" t="s">
        <v>24</v>
      </c>
      <c r="N291" s="1" t="s">
        <v>167</v>
      </c>
    </row>
    <row r="292" spans="1:14" x14ac:dyDescent="0.3">
      <c r="A292" s="1" t="s">
        <v>967</v>
      </c>
      <c r="B292" s="1" t="s">
        <v>263</v>
      </c>
      <c r="C292" s="1" t="s">
        <v>47</v>
      </c>
      <c r="D292" s="1" t="s">
        <v>356</v>
      </c>
      <c r="E292" s="1" t="s">
        <v>251</v>
      </c>
      <c r="F292" s="1" t="s">
        <v>19</v>
      </c>
      <c r="G292" s="1" t="s">
        <v>20</v>
      </c>
      <c r="H292" s="1" t="s">
        <v>66</v>
      </c>
      <c r="I292" s="1" t="s">
        <v>22</v>
      </c>
      <c r="J292" s="1" t="s">
        <v>35</v>
      </c>
      <c r="K292" s="1" t="s">
        <v>36</v>
      </c>
      <c r="L292" s="1" t="s">
        <v>72</v>
      </c>
      <c r="M292" s="1" t="s">
        <v>36</v>
      </c>
      <c r="N292" s="1" t="s">
        <v>38</v>
      </c>
    </row>
    <row r="293" spans="1:14" x14ac:dyDescent="0.3">
      <c r="A293" s="1" t="s">
        <v>968</v>
      </c>
      <c r="B293" s="1" t="s">
        <v>969</v>
      </c>
      <c r="C293" s="1" t="s">
        <v>16</v>
      </c>
      <c r="D293" s="1" t="s">
        <v>947</v>
      </c>
      <c r="E293" s="1" t="s">
        <v>49</v>
      </c>
      <c r="F293" s="1" t="s">
        <v>19</v>
      </c>
      <c r="G293" s="1" t="s">
        <v>20</v>
      </c>
      <c r="H293" s="1" t="s">
        <v>33</v>
      </c>
      <c r="I293" s="1" t="s">
        <v>34</v>
      </c>
      <c r="J293" s="1" t="s">
        <v>35</v>
      </c>
      <c r="K293" s="1" t="s">
        <v>36</v>
      </c>
      <c r="L293" s="1" t="s">
        <v>72</v>
      </c>
      <c r="M293" s="1" t="s">
        <v>36</v>
      </c>
      <c r="N293" s="1" t="s">
        <v>73</v>
      </c>
    </row>
    <row r="294" spans="1:14" x14ac:dyDescent="0.3">
      <c r="A294" s="1" t="s">
        <v>970</v>
      </c>
      <c r="B294" s="1" t="s">
        <v>971</v>
      </c>
      <c r="C294" s="1" t="s">
        <v>16</v>
      </c>
      <c r="D294" s="1" t="s">
        <v>972</v>
      </c>
      <c r="E294" s="1" t="s">
        <v>270</v>
      </c>
      <c r="F294" s="1" t="s">
        <v>973</v>
      </c>
      <c r="G294" s="1" t="s">
        <v>20</v>
      </c>
      <c r="H294" s="1" t="s">
        <v>135</v>
      </c>
      <c r="I294" s="1" t="s">
        <v>34</v>
      </c>
      <c r="J294" s="1" t="s">
        <v>23</v>
      </c>
      <c r="K294" s="1" t="s">
        <v>36</v>
      </c>
      <c r="L294" s="1" t="s">
        <v>25</v>
      </c>
      <c r="M294" s="1" t="s">
        <v>36</v>
      </c>
      <c r="N294" s="1" t="s">
        <v>136</v>
      </c>
    </row>
    <row r="295" spans="1:14" x14ac:dyDescent="0.3">
      <c r="A295" s="1" t="s">
        <v>974</v>
      </c>
      <c r="B295" s="1" t="s">
        <v>975</v>
      </c>
      <c r="C295" s="1" t="s">
        <v>16</v>
      </c>
      <c r="D295" s="1" t="s">
        <v>116</v>
      </c>
      <c r="E295" s="1" t="s">
        <v>65</v>
      </c>
      <c r="F295" s="1" t="s">
        <v>19</v>
      </c>
      <c r="G295" s="1" t="s">
        <v>20</v>
      </c>
      <c r="H295" s="1" t="s">
        <v>98</v>
      </c>
      <c r="I295" s="1" t="s">
        <v>34</v>
      </c>
      <c r="J295" s="1" t="s">
        <v>35</v>
      </c>
      <c r="K295" s="1" t="s">
        <v>36</v>
      </c>
      <c r="L295" s="1" t="s">
        <v>25</v>
      </c>
      <c r="M295" s="1" t="s">
        <v>36</v>
      </c>
      <c r="N295" s="1" t="s">
        <v>976</v>
      </c>
    </row>
    <row r="296" spans="1:14" x14ac:dyDescent="0.3">
      <c r="A296" s="1" t="s">
        <v>977</v>
      </c>
      <c r="B296" s="1" t="s">
        <v>978</v>
      </c>
      <c r="C296" s="1" t="s">
        <v>16</v>
      </c>
      <c r="D296" s="1" t="s">
        <v>152</v>
      </c>
      <c r="E296" s="1" t="s">
        <v>71</v>
      </c>
      <c r="F296" s="1" t="s">
        <v>32</v>
      </c>
      <c r="G296" s="1" t="s">
        <v>20</v>
      </c>
      <c r="H296" s="1" t="s">
        <v>43</v>
      </c>
      <c r="I296" s="1" t="s">
        <v>22</v>
      </c>
      <c r="J296" s="1" t="s">
        <v>50</v>
      </c>
      <c r="K296" s="1" t="s">
        <v>24</v>
      </c>
      <c r="L296" s="1" t="s">
        <v>25</v>
      </c>
      <c r="M296" s="1" t="s">
        <v>36</v>
      </c>
      <c r="N296" s="1" t="s">
        <v>112</v>
      </c>
    </row>
    <row r="297" spans="1:14" x14ac:dyDescent="0.3">
      <c r="A297" s="1" t="s">
        <v>979</v>
      </c>
      <c r="B297" s="1" t="s">
        <v>980</v>
      </c>
      <c r="C297" s="1" t="s">
        <v>84</v>
      </c>
      <c r="D297" s="1" t="s">
        <v>981</v>
      </c>
      <c r="E297" s="1" t="s">
        <v>944</v>
      </c>
      <c r="F297" s="1" t="s">
        <v>19</v>
      </c>
      <c r="G297" s="1" t="s">
        <v>20</v>
      </c>
      <c r="H297" s="1" t="s">
        <v>43</v>
      </c>
      <c r="I297" s="1" t="s">
        <v>22</v>
      </c>
      <c r="J297" s="1" t="s">
        <v>50</v>
      </c>
      <c r="K297" s="1" t="s">
        <v>36</v>
      </c>
      <c r="L297" s="1" t="s">
        <v>72</v>
      </c>
      <c r="M297" s="1" t="s">
        <v>36</v>
      </c>
      <c r="N297" s="1" t="s">
        <v>112</v>
      </c>
    </row>
    <row r="298" spans="1:14" x14ac:dyDescent="0.3">
      <c r="A298" s="1" t="s">
        <v>982</v>
      </c>
      <c r="B298" s="1" t="s">
        <v>983</v>
      </c>
      <c r="C298" s="1" t="s">
        <v>984</v>
      </c>
      <c r="D298" s="1" t="s">
        <v>852</v>
      </c>
      <c r="E298" s="1" t="s">
        <v>236</v>
      </c>
      <c r="F298" s="1" t="s">
        <v>32</v>
      </c>
      <c r="G298" s="1" t="s">
        <v>20</v>
      </c>
      <c r="H298" s="1" t="s">
        <v>21</v>
      </c>
      <c r="I298" s="1" t="s">
        <v>22</v>
      </c>
      <c r="J298" s="1" t="s">
        <v>23</v>
      </c>
      <c r="K298" s="1" t="s">
        <v>36</v>
      </c>
      <c r="L298" s="1" t="s">
        <v>25</v>
      </c>
      <c r="M298" s="1" t="s">
        <v>36</v>
      </c>
      <c r="N298" s="1" t="s">
        <v>654</v>
      </c>
    </row>
    <row r="299" spans="1:14" x14ac:dyDescent="0.3">
      <c r="A299" s="1" t="s">
        <v>985</v>
      </c>
      <c r="B299" s="1" t="s">
        <v>986</v>
      </c>
      <c r="C299" s="1" t="s">
        <v>987</v>
      </c>
      <c r="D299" s="1" t="s">
        <v>250</v>
      </c>
      <c r="E299" s="1" t="s">
        <v>270</v>
      </c>
      <c r="F299" s="1" t="s">
        <v>19</v>
      </c>
      <c r="G299" s="1" t="s">
        <v>20</v>
      </c>
      <c r="H299" s="1" t="s">
        <v>91</v>
      </c>
      <c r="I299" s="1" t="s">
        <v>34</v>
      </c>
      <c r="J299" s="1" t="s">
        <v>23</v>
      </c>
      <c r="K299" s="1" t="s">
        <v>36</v>
      </c>
      <c r="L299" s="1" t="s">
        <v>92</v>
      </c>
      <c r="M299" s="1" t="s">
        <v>24</v>
      </c>
      <c r="N299" s="1" t="s">
        <v>988</v>
      </c>
    </row>
    <row r="300" spans="1:14" x14ac:dyDescent="0.3">
      <c r="A300" s="1" t="s">
        <v>989</v>
      </c>
      <c r="B300" s="1" t="s">
        <v>265</v>
      </c>
      <c r="C300" s="1" t="s">
        <v>63</v>
      </c>
      <c r="D300" s="1" t="s">
        <v>601</v>
      </c>
      <c r="E300" s="1" t="s">
        <v>97</v>
      </c>
      <c r="F300" s="1" t="s">
        <v>19</v>
      </c>
      <c r="G300" s="1" t="s">
        <v>20</v>
      </c>
      <c r="H300" s="1" t="s">
        <v>43</v>
      </c>
      <c r="I300" s="1" t="s">
        <v>34</v>
      </c>
      <c r="J300" s="1" t="s">
        <v>35</v>
      </c>
      <c r="K300" s="1" t="s">
        <v>36</v>
      </c>
      <c r="L300" s="1" t="s">
        <v>25</v>
      </c>
      <c r="M300" s="1" t="s">
        <v>36</v>
      </c>
      <c r="N300" s="1" t="s">
        <v>238</v>
      </c>
    </row>
    <row r="301" spans="1:14" x14ac:dyDescent="0.3">
      <c r="A301" s="1" t="s">
        <v>990</v>
      </c>
      <c r="B301" s="1" t="s">
        <v>991</v>
      </c>
      <c r="C301" s="1" t="s">
        <v>29</v>
      </c>
      <c r="D301" s="1" t="s">
        <v>48</v>
      </c>
      <c r="E301" s="1" t="s">
        <v>60</v>
      </c>
      <c r="F301" s="1" t="s">
        <v>32</v>
      </c>
      <c r="G301" s="1" t="s">
        <v>20</v>
      </c>
      <c r="H301" s="1" t="s">
        <v>33</v>
      </c>
      <c r="I301" s="1" t="s">
        <v>34</v>
      </c>
      <c r="J301" s="1" t="s">
        <v>35</v>
      </c>
      <c r="K301" s="1" t="s">
        <v>36</v>
      </c>
      <c r="L301" s="1" t="s">
        <v>25</v>
      </c>
      <c r="M301" s="1" t="s">
        <v>992</v>
      </c>
      <c r="N301" s="1" t="s">
        <v>38</v>
      </c>
    </row>
    <row r="302" spans="1:14" x14ac:dyDescent="0.3">
      <c r="A302" s="1" t="s">
        <v>993</v>
      </c>
      <c r="B302" s="1" t="s">
        <v>994</v>
      </c>
      <c r="C302" s="1" t="s">
        <v>47</v>
      </c>
      <c r="D302" s="1" t="s">
        <v>518</v>
      </c>
      <c r="E302" s="1" t="s">
        <v>570</v>
      </c>
      <c r="F302" s="1" t="s">
        <v>32</v>
      </c>
      <c r="G302" s="1" t="s">
        <v>20</v>
      </c>
      <c r="H302" s="1" t="s">
        <v>33</v>
      </c>
      <c r="I302" s="1" t="s">
        <v>22</v>
      </c>
      <c r="J302" s="1" t="s">
        <v>35</v>
      </c>
      <c r="K302" s="1" t="s">
        <v>24</v>
      </c>
      <c r="L302" s="1" t="s">
        <v>25</v>
      </c>
      <c r="M302" s="1" t="s">
        <v>995</v>
      </c>
      <c r="N302" s="1" t="s">
        <v>73</v>
      </c>
    </row>
    <row r="303" spans="1:14" x14ac:dyDescent="0.3">
      <c r="A303" s="1" t="s">
        <v>996</v>
      </c>
      <c r="B303" s="1" t="s">
        <v>997</v>
      </c>
      <c r="C303" s="1" t="s">
        <v>16</v>
      </c>
      <c r="D303" s="1" t="s">
        <v>595</v>
      </c>
      <c r="E303" s="1" t="s">
        <v>56</v>
      </c>
      <c r="F303" s="1" t="s">
        <v>32</v>
      </c>
      <c r="G303" s="1" t="s">
        <v>20</v>
      </c>
      <c r="H303" s="1" t="s">
        <v>43</v>
      </c>
      <c r="I303" s="1" t="s">
        <v>34</v>
      </c>
      <c r="J303" s="1" t="s">
        <v>212</v>
      </c>
      <c r="K303" s="1" t="s">
        <v>24</v>
      </c>
      <c r="L303" s="1" t="s">
        <v>25</v>
      </c>
      <c r="M303" s="1" t="s">
        <v>36</v>
      </c>
      <c r="N303" s="1" t="s">
        <v>998</v>
      </c>
    </row>
    <row r="304" spans="1:14" x14ac:dyDescent="0.3">
      <c r="A304" s="1" t="s">
        <v>999</v>
      </c>
      <c r="B304" s="1" t="s">
        <v>528</v>
      </c>
      <c r="C304" s="1" t="s">
        <v>17</v>
      </c>
      <c r="D304" s="1" t="s">
        <v>116</v>
      </c>
      <c r="E304" s="1" t="s">
        <v>403</v>
      </c>
      <c r="F304" s="1" t="s">
        <v>32</v>
      </c>
      <c r="G304" s="1" t="s">
        <v>20</v>
      </c>
      <c r="H304" s="1" t="s">
        <v>33</v>
      </c>
      <c r="I304" s="1" t="s">
        <v>22</v>
      </c>
      <c r="J304" s="1" t="s">
        <v>35</v>
      </c>
      <c r="K304" s="1" t="s">
        <v>24</v>
      </c>
      <c r="L304" s="1" t="s">
        <v>25</v>
      </c>
      <c r="M304" s="1" t="s">
        <v>1000</v>
      </c>
      <c r="N304" s="1" t="s">
        <v>73</v>
      </c>
    </row>
    <row r="305" spans="1:14" x14ac:dyDescent="0.3">
      <c r="A305" s="1" t="s">
        <v>1001</v>
      </c>
      <c r="B305" s="1" t="s">
        <v>1002</v>
      </c>
      <c r="C305" s="1" t="s">
        <v>29</v>
      </c>
      <c r="D305" s="1" t="s">
        <v>70</v>
      </c>
      <c r="E305" s="1" t="s">
        <v>359</v>
      </c>
      <c r="F305" s="1" t="s">
        <v>32</v>
      </c>
      <c r="G305" s="1" t="s">
        <v>20</v>
      </c>
      <c r="H305" s="1" t="s">
        <v>135</v>
      </c>
      <c r="I305" s="1" t="s">
        <v>34</v>
      </c>
      <c r="J305" s="1" t="s">
        <v>35</v>
      </c>
      <c r="K305" s="1" t="s">
        <v>36</v>
      </c>
      <c r="L305" s="1" t="s">
        <v>25</v>
      </c>
      <c r="M305" s="1" t="s">
        <v>36</v>
      </c>
      <c r="N305" s="1" t="s">
        <v>38</v>
      </c>
    </row>
    <row r="306" spans="1:14" x14ac:dyDescent="0.3">
      <c r="A306" s="1" t="s">
        <v>1003</v>
      </c>
      <c r="B306" s="1" t="s">
        <v>1004</v>
      </c>
      <c r="C306" s="1" t="s">
        <v>16</v>
      </c>
      <c r="D306" s="1" t="s">
        <v>205</v>
      </c>
      <c r="E306" s="1" t="s">
        <v>65</v>
      </c>
      <c r="F306" s="1" t="s">
        <v>19</v>
      </c>
      <c r="G306" s="1" t="s">
        <v>20</v>
      </c>
      <c r="H306" s="1" t="s">
        <v>66</v>
      </c>
      <c r="I306" s="1" t="s">
        <v>22</v>
      </c>
      <c r="J306" s="1" t="s">
        <v>35</v>
      </c>
      <c r="K306" s="1" t="s">
        <v>24</v>
      </c>
      <c r="L306" s="1" t="s">
        <v>72</v>
      </c>
      <c r="M306" s="1" t="s">
        <v>183</v>
      </c>
      <c r="N306" s="1" t="s">
        <v>73</v>
      </c>
    </row>
    <row r="307" spans="1:14" x14ac:dyDescent="0.3">
      <c r="A307" s="1" t="s">
        <v>1005</v>
      </c>
      <c r="B307" s="1" t="s">
        <v>1006</v>
      </c>
      <c r="C307" s="1" t="s">
        <v>16</v>
      </c>
      <c r="D307" s="1" t="s">
        <v>205</v>
      </c>
      <c r="E307" s="1" t="s">
        <v>65</v>
      </c>
      <c r="F307" s="1" t="s">
        <v>32</v>
      </c>
      <c r="G307" s="1" t="s">
        <v>20</v>
      </c>
      <c r="H307" s="1" t="s">
        <v>43</v>
      </c>
      <c r="I307" s="1" t="s">
        <v>22</v>
      </c>
      <c r="J307" s="1" t="s">
        <v>35</v>
      </c>
      <c r="K307" s="1" t="s">
        <v>24</v>
      </c>
      <c r="L307" s="1" t="s">
        <v>25</v>
      </c>
      <c r="M307" s="1" t="s">
        <v>1007</v>
      </c>
      <c r="N307" s="1" t="s">
        <v>801</v>
      </c>
    </row>
    <row r="308" spans="1:14" x14ac:dyDescent="0.3">
      <c r="A308" s="1" t="s">
        <v>1008</v>
      </c>
      <c r="B308" s="1" t="s">
        <v>1009</v>
      </c>
      <c r="C308" s="1" t="s">
        <v>329</v>
      </c>
      <c r="D308" s="1" t="s">
        <v>64</v>
      </c>
      <c r="E308" s="1" t="s">
        <v>165</v>
      </c>
      <c r="F308" s="1" t="s">
        <v>32</v>
      </c>
      <c r="G308" s="1" t="s">
        <v>20</v>
      </c>
      <c r="H308" s="1" t="s">
        <v>135</v>
      </c>
      <c r="I308" s="1" t="s">
        <v>34</v>
      </c>
      <c r="J308" s="1" t="s">
        <v>23</v>
      </c>
      <c r="K308" s="1" t="s">
        <v>36</v>
      </c>
      <c r="L308" s="1" t="s">
        <v>411</v>
      </c>
      <c r="M308" s="1" t="s">
        <v>36</v>
      </c>
      <c r="N308" s="1" t="s">
        <v>1010</v>
      </c>
    </row>
    <row r="309" spans="1:14" x14ac:dyDescent="0.3">
      <c r="A309" s="1" t="s">
        <v>1011</v>
      </c>
      <c r="B309" s="1" t="s">
        <v>1012</v>
      </c>
      <c r="C309" s="1" t="s">
        <v>16</v>
      </c>
      <c r="D309" s="1" t="s">
        <v>719</v>
      </c>
      <c r="E309" s="1" t="s">
        <v>97</v>
      </c>
      <c r="F309" s="1" t="s">
        <v>32</v>
      </c>
      <c r="G309" s="1" t="s">
        <v>20</v>
      </c>
      <c r="H309" s="1" t="s">
        <v>21</v>
      </c>
      <c r="I309" s="1" t="s">
        <v>34</v>
      </c>
      <c r="J309" s="1" t="s">
        <v>35</v>
      </c>
      <c r="K309" s="1" t="s">
        <v>36</v>
      </c>
      <c r="L309" s="1" t="s">
        <v>78</v>
      </c>
      <c r="M309" s="1" t="s">
        <v>36</v>
      </c>
      <c r="N309" s="1" t="s">
        <v>390</v>
      </c>
    </row>
    <row r="310" spans="1:14" x14ac:dyDescent="0.3">
      <c r="A310" s="1" t="s">
        <v>1013</v>
      </c>
      <c r="B310" s="1" t="s">
        <v>1014</v>
      </c>
      <c r="C310" s="1" t="s">
        <v>47</v>
      </c>
      <c r="D310" s="1" t="s">
        <v>90</v>
      </c>
      <c r="E310" s="1" t="s">
        <v>97</v>
      </c>
      <c r="F310" s="1" t="s">
        <v>32</v>
      </c>
      <c r="G310" s="1" t="s">
        <v>20</v>
      </c>
      <c r="H310" s="1" t="s">
        <v>33</v>
      </c>
      <c r="I310" s="1" t="s">
        <v>211</v>
      </c>
      <c r="J310" s="1" t="s">
        <v>23</v>
      </c>
      <c r="K310" s="1" t="s">
        <v>36</v>
      </c>
      <c r="L310" s="1" t="s">
        <v>25</v>
      </c>
      <c r="M310" s="1" t="s">
        <v>1015</v>
      </c>
      <c r="N310" s="1" t="s">
        <v>1016</v>
      </c>
    </row>
    <row r="311" spans="1:14" x14ac:dyDescent="0.3">
      <c r="A311" s="1" t="s">
        <v>1017</v>
      </c>
      <c r="B311" s="1" t="s">
        <v>1018</v>
      </c>
      <c r="C311" s="1" t="s">
        <v>16</v>
      </c>
      <c r="D311" s="1" t="s">
        <v>152</v>
      </c>
      <c r="E311" s="1" t="s">
        <v>71</v>
      </c>
      <c r="F311" s="1" t="s">
        <v>32</v>
      </c>
      <c r="G311" s="1" t="s">
        <v>20</v>
      </c>
      <c r="H311" s="1" t="s">
        <v>21</v>
      </c>
      <c r="I311" s="1" t="s">
        <v>22</v>
      </c>
      <c r="J311" s="1" t="s">
        <v>35</v>
      </c>
      <c r="K311" s="1" t="s">
        <v>36</v>
      </c>
      <c r="L311" s="1" t="s">
        <v>72</v>
      </c>
      <c r="M311" s="1" t="s">
        <v>36</v>
      </c>
      <c r="N311" s="1" t="s">
        <v>1019</v>
      </c>
    </row>
    <row r="312" spans="1:14" x14ac:dyDescent="0.3">
      <c r="A312" s="1" t="s">
        <v>1020</v>
      </c>
      <c r="B312" s="1" t="s">
        <v>1021</v>
      </c>
      <c r="C312" s="1" t="s">
        <v>16</v>
      </c>
      <c r="D312" s="1" t="s">
        <v>595</v>
      </c>
      <c r="E312" s="1" t="s">
        <v>56</v>
      </c>
      <c r="F312" s="1" t="s">
        <v>32</v>
      </c>
      <c r="G312" s="1" t="s">
        <v>20</v>
      </c>
      <c r="H312" s="1" t="s">
        <v>135</v>
      </c>
      <c r="I312" s="1" t="s">
        <v>34</v>
      </c>
      <c r="J312" s="1" t="s">
        <v>35</v>
      </c>
      <c r="K312" s="1" t="s">
        <v>36</v>
      </c>
      <c r="L312" s="1" t="s">
        <v>25</v>
      </c>
      <c r="M312" s="1" t="s">
        <v>36</v>
      </c>
      <c r="N312" s="1" t="s">
        <v>38</v>
      </c>
    </row>
    <row r="313" spans="1:14" x14ac:dyDescent="0.3">
      <c r="A313" s="1" t="s">
        <v>1022</v>
      </c>
      <c r="B313" s="1" t="s">
        <v>1023</v>
      </c>
      <c r="C313" s="1" t="s">
        <v>1024</v>
      </c>
      <c r="D313" s="1" t="s">
        <v>1025</v>
      </c>
      <c r="E313" s="1" t="s">
        <v>710</v>
      </c>
      <c r="F313" s="1" t="s">
        <v>32</v>
      </c>
      <c r="G313" s="1" t="s">
        <v>20</v>
      </c>
      <c r="H313" s="1" t="s">
        <v>105</v>
      </c>
      <c r="I313" s="1" t="s">
        <v>34</v>
      </c>
      <c r="J313" s="1" t="s">
        <v>35</v>
      </c>
      <c r="K313" s="1" t="s">
        <v>24</v>
      </c>
      <c r="L313" s="1" t="s">
        <v>25</v>
      </c>
      <c r="M313" s="1" t="s">
        <v>36</v>
      </c>
      <c r="N313" s="1" t="s">
        <v>1026</v>
      </c>
    </row>
    <row r="314" spans="1:14" x14ac:dyDescent="0.3">
      <c r="A314" s="1" t="s">
        <v>1027</v>
      </c>
      <c r="B314" s="1" t="s">
        <v>1028</v>
      </c>
      <c r="C314" s="1" t="s">
        <v>484</v>
      </c>
      <c r="D314" s="1" t="s">
        <v>209</v>
      </c>
      <c r="E314" s="1" t="s">
        <v>175</v>
      </c>
      <c r="F314" s="1" t="s">
        <v>32</v>
      </c>
      <c r="G314" s="1" t="s">
        <v>20</v>
      </c>
      <c r="H314" s="1" t="s">
        <v>105</v>
      </c>
      <c r="I314" s="1" t="s">
        <v>22</v>
      </c>
      <c r="J314" s="1" t="s">
        <v>50</v>
      </c>
      <c r="K314" s="1" t="s">
        <v>36</v>
      </c>
      <c r="L314" s="1" t="s">
        <v>72</v>
      </c>
      <c r="M314" s="1" t="s">
        <v>36</v>
      </c>
      <c r="N314" s="1" t="s">
        <v>1029</v>
      </c>
    </row>
    <row r="315" spans="1:14" x14ac:dyDescent="0.3">
      <c r="A315" s="1" t="s">
        <v>1030</v>
      </c>
      <c r="B315" s="1" t="s">
        <v>1031</v>
      </c>
      <c r="C315" s="1" t="s">
        <v>84</v>
      </c>
      <c r="D315" s="1" t="s">
        <v>595</v>
      </c>
      <c r="E315" s="1" t="s">
        <v>220</v>
      </c>
      <c r="F315" s="1" t="s">
        <v>32</v>
      </c>
      <c r="G315" s="1" t="s">
        <v>20</v>
      </c>
      <c r="H315" s="1" t="s">
        <v>322</v>
      </c>
      <c r="I315" s="1" t="s">
        <v>34</v>
      </c>
      <c r="J315" s="1" t="s">
        <v>1032</v>
      </c>
      <c r="K315" s="1" t="s">
        <v>24</v>
      </c>
      <c r="L315" s="1" t="s">
        <v>25</v>
      </c>
      <c r="M315" s="1" t="s">
        <v>24</v>
      </c>
      <c r="N315" s="1" t="s">
        <v>1033</v>
      </c>
    </row>
    <row r="316" spans="1:14" x14ac:dyDescent="0.3">
      <c r="A316" s="1" t="s">
        <v>1034</v>
      </c>
      <c r="B316" s="1" t="s">
        <v>1035</v>
      </c>
      <c r="C316" s="1" t="s">
        <v>84</v>
      </c>
      <c r="D316" s="1" t="s">
        <v>880</v>
      </c>
      <c r="E316" s="1" t="s">
        <v>270</v>
      </c>
      <c r="F316" s="1" t="s">
        <v>19</v>
      </c>
      <c r="G316" s="1" t="s">
        <v>20</v>
      </c>
      <c r="H316" s="1" t="s">
        <v>33</v>
      </c>
      <c r="I316" s="1" t="s">
        <v>22</v>
      </c>
      <c r="J316" s="1" t="s">
        <v>35</v>
      </c>
      <c r="K316" s="1" t="s">
        <v>24</v>
      </c>
      <c r="L316" s="1" t="s">
        <v>25</v>
      </c>
      <c r="M316" s="1" t="s">
        <v>36</v>
      </c>
      <c r="N316" s="1" t="s">
        <v>1036</v>
      </c>
    </row>
    <row r="317" spans="1:14" x14ac:dyDescent="0.3">
      <c r="A317" s="1" t="s">
        <v>1037</v>
      </c>
      <c r="B317" s="1" t="s">
        <v>1038</v>
      </c>
      <c r="C317" s="1" t="s">
        <v>1039</v>
      </c>
      <c r="D317" s="1" t="s">
        <v>70</v>
      </c>
      <c r="E317" s="1" t="s">
        <v>206</v>
      </c>
      <c r="F317" s="1" t="s">
        <v>32</v>
      </c>
      <c r="G317" s="1" t="s">
        <v>20</v>
      </c>
      <c r="H317" s="1" t="s">
        <v>98</v>
      </c>
      <c r="I317" s="1" t="s">
        <v>34</v>
      </c>
      <c r="J317" s="1" t="s">
        <v>35</v>
      </c>
      <c r="K317" s="1" t="s">
        <v>36</v>
      </c>
      <c r="L317" s="1" t="s">
        <v>25</v>
      </c>
      <c r="M317" s="1" t="s">
        <v>36</v>
      </c>
      <c r="N317" s="1" t="s">
        <v>1040</v>
      </c>
    </row>
    <row r="318" spans="1:14" x14ac:dyDescent="0.3">
      <c r="A318" s="1" t="s">
        <v>1041</v>
      </c>
      <c r="B318" s="1" t="s">
        <v>1042</v>
      </c>
      <c r="C318" s="1" t="s">
        <v>29</v>
      </c>
      <c r="D318" s="1" t="s">
        <v>537</v>
      </c>
      <c r="E318" s="1" t="s">
        <v>31</v>
      </c>
      <c r="F318" s="1" t="s">
        <v>32</v>
      </c>
      <c r="G318" s="1" t="s">
        <v>20</v>
      </c>
      <c r="H318" s="1" t="s">
        <v>43</v>
      </c>
      <c r="I318" s="1" t="s">
        <v>34</v>
      </c>
      <c r="J318" s="1" t="s">
        <v>35</v>
      </c>
      <c r="K318" s="1" t="s">
        <v>36</v>
      </c>
      <c r="L318" s="1" t="s">
        <v>25</v>
      </c>
      <c r="M318" s="1" t="s">
        <v>36</v>
      </c>
      <c r="N318" s="1" t="s">
        <v>38</v>
      </c>
    </row>
    <row r="319" spans="1:14" x14ac:dyDescent="0.3">
      <c r="A319" s="1" t="s">
        <v>1043</v>
      </c>
      <c r="B319" s="1" t="s">
        <v>1044</v>
      </c>
      <c r="C319" s="1" t="s">
        <v>29</v>
      </c>
      <c r="D319" s="1" t="s">
        <v>17</v>
      </c>
      <c r="E319" s="1" t="s">
        <v>251</v>
      </c>
      <c r="F319" s="1" t="s">
        <v>32</v>
      </c>
      <c r="G319" s="1" t="s">
        <v>20</v>
      </c>
      <c r="H319" s="1" t="s">
        <v>105</v>
      </c>
      <c r="I319" s="1" t="s">
        <v>34</v>
      </c>
      <c r="J319" s="1" t="s">
        <v>35</v>
      </c>
      <c r="K319" s="1" t="s">
        <v>36</v>
      </c>
      <c r="L319" s="1" t="s">
        <v>92</v>
      </c>
      <c r="M319" s="1" t="s">
        <v>36</v>
      </c>
      <c r="N319" s="1" t="s">
        <v>1045</v>
      </c>
    </row>
    <row r="320" spans="1:14" x14ac:dyDescent="0.3">
      <c r="A320" s="1" t="s">
        <v>1046</v>
      </c>
      <c r="B320" s="1" t="s">
        <v>1047</v>
      </c>
      <c r="C320" s="1" t="s">
        <v>47</v>
      </c>
      <c r="D320" s="1" t="s">
        <v>48</v>
      </c>
      <c r="E320" s="1" t="s">
        <v>49</v>
      </c>
      <c r="F320" s="1" t="s">
        <v>32</v>
      </c>
      <c r="G320" s="1" t="s">
        <v>20</v>
      </c>
      <c r="H320" s="1" t="s">
        <v>33</v>
      </c>
      <c r="I320" s="1" t="s">
        <v>34</v>
      </c>
      <c r="J320" s="1" t="s">
        <v>1048</v>
      </c>
      <c r="K320" s="1" t="s">
        <v>36</v>
      </c>
      <c r="L320" s="1" t="s">
        <v>411</v>
      </c>
      <c r="M320" s="1" t="s">
        <v>36</v>
      </c>
      <c r="N320" s="1" t="s">
        <v>1049</v>
      </c>
    </row>
    <row r="321" spans="1:14" x14ac:dyDescent="0.3">
      <c r="A321" s="1" t="s">
        <v>1050</v>
      </c>
      <c r="B321" s="1" t="s">
        <v>1051</v>
      </c>
      <c r="C321" s="1" t="s">
        <v>1052</v>
      </c>
      <c r="D321" s="1" t="s">
        <v>126</v>
      </c>
      <c r="E321" s="1" t="s">
        <v>739</v>
      </c>
      <c r="F321" s="1" t="s">
        <v>32</v>
      </c>
      <c r="G321" s="1" t="s">
        <v>20</v>
      </c>
      <c r="H321" s="1" t="s">
        <v>105</v>
      </c>
      <c r="I321" s="1" t="s">
        <v>34</v>
      </c>
      <c r="J321" s="1" t="s">
        <v>23</v>
      </c>
      <c r="K321" s="1" t="s">
        <v>36</v>
      </c>
      <c r="L321" s="1" t="s">
        <v>25</v>
      </c>
      <c r="M321" s="1" t="s">
        <v>36</v>
      </c>
      <c r="N321" s="1" t="s">
        <v>1053</v>
      </c>
    </row>
    <row r="322" spans="1:14" x14ac:dyDescent="0.3">
      <c r="A322" s="1" t="s">
        <v>1054</v>
      </c>
      <c r="B322" s="1" t="s">
        <v>399</v>
      </c>
      <c r="C322" s="1" t="s">
        <v>16</v>
      </c>
      <c r="D322" s="1" t="s">
        <v>152</v>
      </c>
      <c r="E322" s="1" t="s">
        <v>71</v>
      </c>
      <c r="F322" s="1" t="s">
        <v>19</v>
      </c>
      <c r="G322" s="1" t="s">
        <v>20</v>
      </c>
      <c r="H322" s="1" t="s">
        <v>33</v>
      </c>
      <c r="I322" s="1" t="s">
        <v>34</v>
      </c>
      <c r="J322" s="1" t="s">
        <v>35</v>
      </c>
      <c r="K322" s="1" t="s">
        <v>36</v>
      </c>
      <c r="L322" s="1" t="s">
        <v>25</v>
      </c>
      <c r="M322" s="1" t="s">
        <v>36</v>
      </c>
      <c r="N322" s="1" t="s">
        <v>38</v>
      </c>
    </row>
    <row r="323" spans="1:14" x14ac:dyDescent="0.3">
      <c r="A323" s="1" t="s">
        <v>1055</v>
      </c>
      <c r="B323" s="1" t="s">
        <v>1051</v>
      </c>
      <c r="C323" s="1" t="s">
        <v>1052</v>
      </c>
      <c r="D323" s="1" t="s">
        <v>126</v>
      </c>
      <c r="E323" s="1" t="s">
        <v>739</v>
      </c>
      <c r="F323" s="1" t="s">
        <v>32</v>
      </c>
      <c r="G323" s="1" t="s">
        <v>20</v>
      </c>
      <c r="H323" s="1" t="s">
        <v>105</v>
      </c>
      <c r="I323" s="1" t="s">
        <v>34</v>
      </c>
      <c r="J323" s="1" t="s">
        <v>23</v>
      </c>
      <c r="K323" s="1" t="s">
        <v>36</v>
      </c>
      <c r="L323" s="1" t="s">
        <v>25</v>
      </c>
      <c r="M323" s="1" t="s">
        <v>36</v>
      </c>
      <c r="N323" s="1" t="s">
        <v>1053</v>
      </c>
    </row>
    <row r="324" spans="1:14" x14ac:dyDescent="0.3">
      <c r="A324" s="1" t="s">
        <v>1056</v>
      </c>
      <c r="B324" s="1" t="s">
        <v>1057</v>
      </c>
      <c r="C324" s="1" t="s">
        <v>569</v>
      </c>
      <c r="D324" s="1" t="s">
        <v>852</v>
      </c>
      <c r="E324" s="1" t="s">
        <v>187</v>
      </c>
      <c r="F324" s="1" t="s">
        <v>32</v>
      </c>
      <c r="G324" s="1" t="s">
        <v>20</v>
      </c>
      <c r="H324" s="1" t="s">
        <v>1058</v>
      </c>
      <c r="I324" s="1" t="s">
        <v>22</v>
      </c>
      <c r="J324" s="1" t="s">
        <v>35</v>
      </c>
      <c r="K324" s="1" t="s">
        <v>24</v>
      </c>
      <c r="L324" s="1" t="s">
        <v>25</v>
      </c>
      <c r="M324" s="1" t="s">
        <v>36</v>
      </c>
      <c r="N324" s="1" t="s">
        <v>300</v>
      </c>
    </row>
    <row r="325" spans="1:14" x14ac:dyDescent="0.3">
      <c r="A325" s="1" t="s">
        <v>1059</v>
      </c>
      <c r="B325" s="1" t="s">
        <v>1060</v>
      </c>
      <c r="C325" s="1" t="s">
        <v>47</v>
      </c>
      <c r="D325" s="1" t="s">
        <v>116</v>
      </c>
      <c r="E325" s="1" t="s">
        <v>56</v>
      </c>
      <c r="F325" s="1" t="s">
        <v>32</v>
      </c>
      <c r="G325" s="1" t="s">
        <v>20</v>
      </c>
      <c r="H325" s="1" t="s">
        <v>33</v>
      </c>
      <c r="I325" s="1" t="s">
        <v>22</v>
      </c>
      <c r="J325" s="1" t="s">
        <v>35</v>
      </c>
      <c r="K325" s="1" t="s">
        <v>36</v>
      </c>
      <c r="L325" s="1" t="s">
        <v>72</v>
      </c>
      <c r="M325" s="1" t="s">
        <v>36</v>
      </c>
      <c r="N325" s="1" t="s">
        <v>666</v>
      </c>
    </row>
    <row r="326" spans="1:14" x14ac:dyDescent="0.3">
      <c r="A326" s="1" t="s">
        <v>1061</v>
      </c>
      <c r="B326" s="1" t="s">
        <v>1062</v>
      </c>
      <c r="C326" s="1" t="s">
        <v>47</v>
      </c>
      <c r="D326" s="1" t="s">
        <v>1063</v>
      </c>
      <c r="E326" s="1" t="s">
        <v>236</v>
      </c>
      <c r="F326" s="1" t="s">
        <v>32</v>
      </c>
      <c r="G326" s="1" t="s">
        <v>20</v>
      </c>
      <c r="H326" s="1" t="s">
        <v>43</v>
      </c>
      <c r="I326" s="1" t="s">
        <v>211</v>
      </c>
      <c r="J326" s="1" t="s">
        <v>23</v>
      </c>
      <c r="K326" s="1" t="s">
        <v>36</v>
      </c>
      <c r="L326" s="1" t="s">
        <v>78</v>
      </c>
      <c r="M326" s="1" t="s">
        <v>36</v>
      </c>
      <c r="N326" s="1" t="s">
        <v>148</v>
      </c>
    </row>
    <row r="327" spans="1:14" x14ac:dyDescent="0.3">
      <c r="A327" s="1" t="s">
        <v>1064</v>
      </c>
      <c r="B327" s="1" t="s">
        <v>1065</v>
      </c>
      <c r="C327" s="1" t="s">
        <v>1066</v>
      </c>
      <c r="D327" s="1" t="s">
        <v>356</v>
      </c>
      <c r="E327" s="1" t="s">
        <v>194</v>
      </c>
      <c r="F327" s="1" t="s">
        <v>19</v>
      </c>
      <c r="G327" s="1" t="s">
        <v>20</v>
      </c>
      <c r="H327" s="1" t="s">
        <v>43</v>
      </c>
      <c r="I327" s="1" t="s">
        <v>22</v>
      </c>
      <c r="J327" s="1" t="s">
        <v>118</v>
      </c>
      <c r="K327" s="1" t="s">
        <v>24</v>
      </c>
      <c r="L327" s="1" t="s">
        <v>72</v>
      </c>
      <c r="M327" s="1" t="s">
        <v>36</v>
      </c>
      <c r="N327" s="1" t="s">
        <v>112</v>
      </c>
    </row>
    <row r="328" spans="1:14" x14ac:dyDescent="0.3">
      <c r="A328" s="1" t="s">
        <v>1067</v>
      </c>
      <c r="B328" s="1" t="s">
        <v>1068</v>
      </c>
      <c r="C328" s="1" t="s">
        <v>204</v>
      </c>
      <c r="D328" s="1" t="s">
        <v>1069</v>
      </c>
      <c r="E328" s="1" t="s">
        <v>394</v>
      </c>
      <c r="F328" s="1" t="s">
        <v>32</v>
      </c>
      <c r="G328" s="1" t="s">
        <v>20</v>
      </c>
      <c r="H328" s="1" t="s">
        <v>105</v>
      </c>
      <c r="I328" s="1" t="s">
        <v>22</v>
      </c>
      <c r="J328" s="1" t="s">
        <v>23</v>
      </c>
      <c r="K328" s="1" t="s">
        <v>36</v>
      </c>
      <c r="L328" s="1" t="s">
        <v>25</v>
      </c>
      <c r="M328" s="1" t="s">
        <v>36</v>
      </c>
      <c r="N328" s="1" t="s">
        <v>1053</v>
      </c>
    </row>
    <row r="329" spans="1:14" x14ac:dyDescent="0.3">
      <c r="A329" s="1" t="s">
        <v>1070</v>
      </c>
      <c r="B329" s="1" t="s">
        <v>1071</v>
      </c>
      <c r="C329" s="1" t="s">
        <v>47</v>
      </c>
      <c r="D329" s="1" t="s">
        <v>116</v>
      </c>
      <c r="E329" s="1" t="s">
        <v>56</v>
      </c>
      <c r="F329" s="1" t="s">
        <v>32</v>
      </c>
      <c r="G329" s="1" t="s">
        <v>20</v>
      </c>
      <c r="H329" s="1" t="s">
        <v>66</v>
      </c>
      <c r="I329" s="1" t="s">
        <v>22</v>
      </c>
      <c r="J329" s="1" t="s">
        <v>35</v>
      </c>
      <c r="K329" s="1" t="s">
        <v>36</v>
      </c>
      <c r="L329" s="1" t="s">
        <v>449</v>
      </c>
      <c r="M329" s="1" t="s">
        <v>36</v>
      </c>
      <c r="N329" s="1" t="s">
        <v>38</v>
      </c>
    </row>
    <row r="330" spans="1:14" x14ac:dyDescent="0.3">
      <c r="A330" s="1" t="s">
        <v>1072</v>
      </c>
      <c r="B330" s="1" t="s">
        <v>1073</v>
      </c>
      <c r="C330" s="1" t="s">
        <v>834</v>
      </c>
      <c r="D330" s="1" t="s">
        <v>1074</v>
      </c>
      <c r="E330" s="1" t="s">
        <v>110</v>
      </c>
      <c r="F330" s="1" t="s">
        <v>32</v>
      </c>
      <c r="G330" s="1" t="s">
        <v>20</v>
      </c>
      <c r="H330" s="1" t="s">
        <v>105</v>
      </c>
      <c r="I330" s="1" t="s">
        <v>34</v>
      </c>
      <c r="J330" s="1" t="s">
        <v>23</v>
      </c>
      <c r="K330" s="1" t="s">
        <v>24</v>
      </c>
      <c r="L330" s="1" t="s">
        <v>411</v>
      </c>
      <c r="M330" s="1" t="s">
        <v>24</v>
      </c>
      <c r="N330" s="1" t="s">
        <v>835</v>
      </c>
    </row>
    <row r="331" spans="1:14" x14ac:dyDescent="0.3">
      <c r="A331" s="1" t="s">
        <v>1075</v>
      </c>
      <c r="B331" s="1" t="s">
        <v>1076</v>
      </c>
      <c r="C331" s="1" t="s">
        <v>1077</v>
      </c>
      <c r="D331" s="1" t="s">
        <v>30</v>
      </c>
      <c r="E331" s="1" t="s">
        <v>175</v>
      </c>
      <c r="F331" s="1" t="s">
        <v>19</v>
      </c>
      <c r="G331" s="1" t="s">
        <v>20</v>
      </c>
      <c r="H331" s="1" t="s">
        <v>43</v>
      </c>
      <c r="I331" s="1" t="s">
        <v>211</v>
      </c>
      <c r="J331" s="1" t="s">
        <v>35</v>
      </c>
      <c r="K331" s="1" t="s">
        <v>24</v>
      </c>
      <c r="L331" s="1" t="s">
        <v>166</v>
      </c>
      <c r="M331" s="1" t="s">
        <v>36</v>
      </c>
      <c r="N331" s="1" t="s">
        <v>1078</v>
      </c>
    </row>
    <row r="332" spans="1:14" x14ac:dyDescent="0.3">
      <c r="A332" s="1" t="s">
        <v>1079</v>
      </c>
      <c r="B332" s="1" t="s">
        <v>1080</v>
      </c>
      <c r="C332" s="1" t="s">
        <v>16</v>
      </c>
      <c r="D332" s="1" t="s">
        <v>335</v>
      </c>
      <c r="E332" s="1" t="s">
        <v>77</v>
      </c>
      <c r="F332" s="1" t="s">
        <v>32</v>
      </c>
      <c r="G332" s="1" t="s">
        <v>20</v>
      </c>
      <c r="H332" s="1" t="s">
        <v>66</v>
      </c>
      <c r="I332" s="1" t="s">
        <v>22</v>
      </c>
      <c r="J332" s="1" t="s">
        <v>35</v>
      </c>
      <c r="K332" s="1" t="s">
        <v>24</v>
      </c>
      <c r="L332" s="1" t="s">
        <v>72</v>
      </c>
      <c r="M332" s="1" t="s">
        <v>36</v>
      </c>
      <c r="N332" s="1" t="s">
        <v>73</v>
      </c>
    </row>
    <row r="333" spans="1:14" x14ac:dyDescent="0.3">
      <c r="A333" s="1" t="s">
        <v>1081</v>
      </c>
      <c r="B333" s="1" t="s">
        <v>1082</v>
      </c>
      <c r="C333" s="1" t="s">
        <v>16</v>
      </c>
      <c r="D333" s="1" t="s">
        <v>70</v>
      </c>
      <c r="E333" s="1" t="s">
        <v>71</v>
      </c>
      <c r="F333" s="1" t="s">
        <v>32</v>
      </c>
      <c r="G333" s="1" t="s">
        <v>20</v>
      </c>
      <c r="H333" s="1" t="s">
        <v>66</v>
      </c>
      <c r="I333" s="1" t="s">
        <v>34</v>
      </c>
      <c r="J333" s="1" t="s">
        <v>35</v>
      </c>
      <c r="K333" s="1" t="s">
        <v>36</v>
      </c>
      <c r="L333" s="1" t="s">
        <v>25</v>
      </c>
      <c r="M333" s="1" t="s">
        <v>36</v>
      </c>
      <c r="N333" s="1" t="s">
        <v>550</v>
      </c>
    </row>
    <row r="334" spans="1:14" x14ac:dyDescent="0.3">
      <c r="A334" s="1" t="s">
        <v>1083</v>
      </c>
      <c r="B334" s="1" t="s">
        <v>1084</v>
      </c>
      <c r="C334" s="1" t="s">
        <v>84</v>
      </c>
      <c r="D334" s="1" t="s">
        <v>64</v>
      </c>
      <c r="E334" s="1" t="s">
        <v>455</v>
      </c>
      <c r="F334" s="1" t="s">
        <v>32</v>
      </c>
      <c r="G334" s="1" t="s">
        <v>20</v>
      </c>
      <c r="H334" s="1" t="s">
        <v>33</v>
      </c>
      <c r="I334" s="1" t="s">
        <v>22</v>
      </c>
      <c r="J334" s="1" t="s">
        <v>35</v>
      </c>
      <c r="K334" s="1" t="s">
        <v>36</v>
      </c>
      <c r="L334" s="1" t="s">
        <v>25</v>
      </c>
      <c r="M334" s="1" t="s">
        <v>36</v>
      </c>
      <c r="N334" s="1" t="s">
        <v>1085</v>
      </c>
    </row>
    <row r="335" spans="1:14" x14ac:dyDescent="0.3">
      <c r="A335" s="1" t="s">
        <v>1086</v>
      </c>
      <c r="B335" s="1" t="s">
        <v>1087</v>
      </c>
      <c r="C335" s="1" t="s">
        <v>1088</v>
      </c>
      <c r="D335" s="1" t="s">
        <v>48</v>
      </c>
      <c r="E335" s="1" t="s">
        <v>251</v>
      </c>
      <c r="F335" s="1" t="s">
        <v>32</v>
      </c>
      <c r="G335" s="1" t="s">
        <v>20</v>
      </c>
      <c r="H335" s="1" t="s">
        <v>33</v>
      </c>
      <c r="I335" s="1" t="s">
        <v>34</v>
      </c>
      <c r="J335" s="1" t="s">
        <v>35</v>
      </c>
      <c r="K335" s="1" t="s">
        <v>36</v>
      </c>
      <c r="L335" s="1" t="s">
        <v>25</v>
      </c>
      <c r="M335" s="1" t="s">
        <v>36</v>
      </c>
      <c r="N335" s="1" t="s">
        <v>1089</v>
      </c>
    </row>
    <row r="336" spans="1:14" x14ac:dyDescent="0.3">
      <c r="A336" s="1" t="s">
        <v>1090</v>
      </c>
      <c r="B336" s="1" t="s">
        <v>1091</v>
      </c>
      <c r="C336" s="1" t="s">
        <v>47</v>
      </c>
      <c r="D336" s="1" t="s">
        <v>17</v>
      </c>
      <c r="E336" s="1" t="s">
        <v>42</v>
      </c>
      <c r="F336" s="1" t="s">
        <v>32</v>
      </c>
      <c r="G336" s="1" t="s">
        <v>20</v>
      </c>
      <c r="H336" s="1" t="s">
        <v>43</v>
      </c>
      <c r="I336" s="1" t="s">
        <v>22</v>
      </c>
      <c r="J336" s="1" t="s">
        <v>50</v>
      </c>
      <c r="K336" s="1" t="s">
        <v>24</v>
      </c>
      <c r="L336" s="1" t="s">
        <v>72</v>
      </c>
      <c r="M336" s="1" t="s">
        <v>36</v>
      </c>
      <c r="N336" s="1" t="s">
        <v>465</v>
      </c>
    </row>
    <row r="337" spans="1:14" x14ac:dyDescent="0.3">
      <c r="A337" s="1" t="s">
        <v>1092</v>
      </c>
      <c r="B337" s="1" t="s">
        <v>1093</v>
      </c>
      <c r="C337" s="1" t="s">
        <v>329</v>
      </c>
      <c r="D337" s="1" t="s">
        <v>48</v>
      </c>
      <c r="E337" s="1" t="s">
        <v>165</v>
      </c>
      <c r="F337" s="1" t="s">
        <v>32</v>
      </c>
      <c r="G337" s="1" t="s">
        <v>20</v>
      </c>
      <c r="H337" s="1" t="s">
        <v>33</v>
      </c>
      <c r="I337" s="1" t="s">
        <v>22</v>
      </c>
      <c r="J337" s="1" t="s">
        <v>50</v>
      </c>
      <c r="K337" s="1" t="s">
        <v>24</v>
      </c>
      <c r="L337" s="1" t="s">
        <v>25</v>
      </c>
      <c r="M337" s="1" t="s">
        <v>36</v>
      </c>
      <c r="N337" s="1" t="s">
        <v>1094</v>
      </c>
    </row>
    <row r="338" spans="1:14" x14ac:dyDescent="0.3">
      <c r="A338" s="1" t="s">
        <v>1095</v>
      </c>
      <c r="B338" s="1" t="s">
        <v>1096</v>
      </c>
      <c r="C338" s="1" t="s">
        <v>16</v>
      </c>
      <c r="D338" s="1" t="s">
        <v>76</v>
      </c>
      <c r="E338" s="1" t="s">
        <v>77</v>
      </c>
      <c r="F338" s="1" t="s">
        <v>32</v>
      </c>
      <c r="G338" s="1" t="s">
        <v>20</v>
      </c>
      <c r="H338" s="1" t="s">
        <v>21</v>
      </c>
      <c r="I338" s="1" t="s">
        <v>211</v>
      </c>
      <c r="J338" s="1" t="s">
        <v>23</v>
      </c>
      <c r="K338" s="1" t="s">
        <v>24</v>
      </c>
      <c r="L338" s="1" t="s">
        <v>25</v>
      </c>
      <c r="M338" s="1" t="s">
        <v>24</v>
      </c>
      <c r="N338" s="1" t="s">
        <v>303</v>
      </c>
    </row>
    <row r="339" spans="1:14" x14ac:dyDescent="0.3">
      <c r="A339" s="1" t="s">
        <v>1097</v>
      </c>
      <c r="B339" s="1" t="s">
        <v>1098</v>
      </c>
      <c r="C339" s="1" t="s">
        <v>204</v>
      </c>
      <c r="D339" s="1" t="s">
        <v>70</v>
      </c>
      <c r="E339" s="1" t="s">
        <v>77</v>
      </c>
      <c r="F339" s="1" t="s">
        <v>32</v>
      </c>
      <c r="G339" s="1" t="s">
        <v>20</v>
      </c>
      <c r="H339" s="1" t="s">
        <v>33</v>
      </c>
      <c r="I339" s="1" t="s">
        <v>211</v>
      </c>
      <c r="J339" s="1" t="s">
        <v>35</v>
      </c>
      <c r="K339" s="1" t="s">
        <v>36</v>
      </c>
      <c r="L339" s="1" t="s">
        <v>72</v>
      </c>
      <c r="M339" s="1" t="s">
        <v>36</v>
      </c>
      <c r="N339" s="1" t="s">
        <v>1099</v>
      </c>
    </row>
    <row r="340" spans="1:14" x14ac:dyDescent="0.3">
      <c r="A340" s="1" t="s">
        <v>1100</v>
      </c>
      <c r="B340" s="1" t="s">
        <v>1101</v>
      </c>
      <c r="C340" s="1" t="s">
        <v>178</v>
      </c>
      <c r="D340" s="1" t="s">
        <v>161</v>
      </c>
      <c r="E340" s="1" t="s">
        <v>378</v>
      </c>
      <c r="F340" s="1" t="s">
        <v>19</v>
      </c>
      <c r="G340" s="1" t="s">
        <v>20</v>
      </c>
      <c r="H340" s="1" t="s">
        <v>43</v>
      </c>
      <c r="I340" s="1" t="s">
        <v>34</v>
      </c>
      <c r="J340" s="1" t="s">
        <v>35</v>
      </c>
      <c r="K340" s="1" t="s">
        <v>24</v>
      </c>
      <c r="L340" s="1" t="s">
        <v>25</v>
      </c>
      <c r="M340" s="1" t="s">
        <v>24</v>
      </c>
      <c r="N340" s="1" t="s">
        <v>1102</v>
      </c>
    </row>
    <row r="341" spans="1:14" x14ac:dyDescent="0.3">
      <c r="A341" s="1" t="s">
        <v>1103</v>
      </c>
      <c r="B341" s="1" t="s">
        <v>1104</v>
      </c>
      <c r="C341" s="1" t="s">
        <v>47</v>
      </c>
      <c r="D341" s="1" t="s">
        <v>157</v>
      </c>
      <c r="E341" s="1" t="s">
        <v>147</v>
      </c>
      <c r="F341" s="1" t="s">
        <v>19</v>
      </c>
      <c r="G341" s="1" t="s">
        <v>20</v>
      </c>
      <c r="H341" s="1" t="s">
        <v>33</v>
      </c>
      <c r="I341" s="1" t="s">
        <v>34</v>
      </c>
      <c r="J341" s="1" t="s">
        <v>35</v>
      </c>
      <c r="K341" s="1" t="s">
        <v>24</v>
      </c>
      <c r="L341" s="1" t="s">
        <v>25</v>
      </c>
      <c r="M341" s="1" t="s">
        <v>36</v>
      </c>
      <c r="N341" s="1" t="s">
        <v>1105</v>
      </c>
    </row>
    <row r="342" spans="1:14" x14ac:dyDescent="0.3">
      <c r="A342" s="1" t="s">
        <v>1106</v>
      </c>
      <c r="B342" s="1" t="s">
        <v>1107</v>
      </c>
      <c r="C342" s="1" t="s">
        <v>29</v>
      </c>
      <c r="D342" s="1" t="s">
        <v>335</v>
      </c>
      <c r="E342" s="1" t="s">
        <v>60</v>
      </c>
      <c r="F342" s="1" t="s">
        <v>32</v>
      </c>
      <c r="G342" s="1" t="s">
        <v>20</v>
      </c>
      <c r="H342" s="1" t="s">
        <v>66</v>
      </c>
      <c r="I342" s="1" t="s">
        <v>34</v>
      </c>
      <c r="J342" s="1" t="s">
        <v>35</v>
      </c>
      <c r="K342" s="1" t="s">
        <v>24</v>
      </c>
      <c r="L342" s="1" t="s">
        <v>25</v>
      </c>
      <c r="M342" s="1" t="s">
        <v>1108</v>
      </c>
      <c r="N342" s="1" t="s">
        <v>252</v>
      </c>
    </row>
    <row r="343" spans="1:14" x14ac:dyDescent="0.3">
      <c r="A343" s="1" t="s">
        <v>1109</v>
      </c>
      <c r="B343" s="1" t="s">
        <v>1110</v>
      </c>
      <c r="C343" s="1" t="s">
        <v>29</v>
      </c>
      <c r="D343" s="1" t="s">
        <v>186</v>
      </c>
      <c r="E343" s="1" t="s">
        <v>353</v>
      </c>
      <c r="F343" s="1" t="s">
        <v>32</v>
      </c>
      <c r="G343" s="1" t="s">
        <v>20</v>
      </c>
      <c r="H343" s="1" t="s">
        <v>33</v>
      </c>
      <c r="I343" s="1" t="s">
        <v>34</v>
      </c>
      <c r="J343" s="1" t="s">
        <v>35</v>
      </c>
      <c r="K343" s="1" t="s">
        <v>36</v>
      </c>
      <c r="L343" s="1" t="s">
        <v>25</v>
      </c>
      <c r="M343" s="1" t="s">
        <v>36</v>
      </c>
      <c r="N343" s="1" t="s">
        <v>38</v>
      </c>
    </row>
    <row r="344" spans="1:14" x14ac:dyDescent="0.3">
      <c r="A344" s="1" t="s">
        <v>1111</v>
      </c>
      <c r="B344" s="1" t="s">
        <v>1112</v>
      </c>
      <c r="C344" s="1" t="s">
        <v>1113</v>
      </c>
      <c r="D344" s="1" t="s">
        <v>1114</v>
      </c>
      <c r="E344" s="1" t="s">
        <v>506</v>
      </c>
      <c r="F344" s="1" t="s">
        <v>32</v>
      </c>
      <c r="G344" s="1" t="s">
        <v>20</v>
      </c>
      <c r="H344" s="1" t="s">
        <v>43</v>
      </c>
      <c r="I344" s="1" t="s">
        <v>34</v>
      </c>
      <c r="J344" s="1" t="s">
        <v>50</v>
      </c>
      <c r="K344" s="1" t="s">
        <v>24</v>
      </c>
      <c r="L344" s="1" t="s">
        <v>72</v>
      </c>
      <c r="M344" s="1" t="s">
        <v>36</v>
      </c>
      <c r="N344" s="1" t="s">
        <v>79</v>
      </c>
    </row>
    <row r="345" spans="1:14" x14ac:dyDescent="0.3">
      <c r="A345" s="1" t="s">
        <v>1115</v>
      </c>
      <c r="B345" s="1" t="s">
        <v>489</v>
      </c>
      <c r="C345" s="1" t="s">
        <v>29</v>
      </c>
      <c r="D345" s="1" t="s">
        <v>335</v>
      </c>
      <c r="E345" s="1" t="s">
        <v>60</v>
      </c>
      <c r="F345" s="1" t="s">
        <v>32</v>
      </c>
      <c r="G345" s="1" t="s">
        <v>20</v>
      </c>
      <c r="H345" s="1" t="s">
        <v>43</v>
      </c>
      <c r="I345" s="1" t="s">
        <v>34</v>
      </c>
      <c r="J345" s="1" t="s">
        <v>35</v>
      </c>
      <c r="K345" s="1" t="s">
        <v>36</v>
      </c>
      <c r="L345" s="1" t="s">
        <v>25</v>
      </c>
      <c r="M345" s="1" t="s">
        <v>36</v>
      </c>
      <c r="N345" s="1" t="s">
        <v>38</v>
      </c>
    </row>
    <row r="346" spans="1:14" x14ac:dyDescent="0.3">
      <c r="A346" s="1" t="s">
        <v>1116</v>
      </c>
      <c r="B346" s="1" t="s">
        <v>1117</v>
      </c>
      <c r="C346" s="1" t="s">
        <v>1118</v>
      </c>
      <c r="D346" s="1" t="s">
        <v>1119</v>
      </c>
      <c r="E346" s="1" t="s">
        <v>71</v>
      </c>
      <c r="F346" s="1" t="s">
        <v>32</v>
      </c>
      <c r="G346" s="1" t="s">
        <v>20</v>
      </c>
      <c r="H346" s="1" t="s">
        <v>98</v>
      </c>
      <c r="I346" s="1" t="s">
        <v>34</v>
      </c>
      <c r="J346" s="1" t="s">
        <v>35</v>
      </c>
      <c r="K346" s="1" t="s">
        <v>36</v>
      </c>
      <c r="L346" s="1" t="s">
        <v>25</v>
      </c>
      <c r="M346" s="1" t="s">
        <v>36</v>
      </c>
      <c r="N346" s="1" t="s">
        <v>1120</v>
      </c>
    </row>
    <row r="347" spans="1:14" x14ac:dyDescent="0.3">
      <c r="A347" s="1" t="s">
        <v>1121</v>
      </c>
      <c r="B347" s="1" t="s">
        <v>1122</v>
      </c>
      <c r="C347" s="1" t="s">
        <v>422</v>
      </c>
      <c r="D347" s="1" t="s">
        <v>549</v>
      </c>
      <c r="E347" s="1" t="s">
        <v>206</v>
      </c>
      <c r="F347" s="1" t="s">
        <v>32</v>
      </c>
      <c r="G347" s="1" t="s">
        <v>20</v>
      </c>
      <c r="H347" s="1" t="s">
        <v>43</v>
      </c>
      <c r="I347" s="1" t="s">
        <v>34</v>
      </c>
      <c r="J347" s="1" t="s">
        <v>35</v>
      </c>
      <c r="K347" s="1" t="s">
        <v>36</v>
      </c>
      <c r="L347" s="1" t="s">
        <v>25</v>
      </c>
      <c r="M347" s="1" t="s">
        <v>36</v>
      </c>
      <c r="N347" s="1" t="s">
        <v>38</v>
      </c>
    </row>
    <row r="348" spans="1:14" x14ac:dyDescent="0.3">
      <c r="A348" s="1" t="s">
        <v>1123</v>
      </c>
      <c r="B348" s="1" t="s">
        <v>1124</v>
      </c>
      <c r="C348" s="1" t="s">
        <v>47</v>
      </c>
      <c r="D348" s="1" t="s">
        <v>518</v>
      </c>
      <c r="E348" s="1" t="s">
        <v>570</v>
      </c>
      <c r="F348" s="1" t="s">
        <v>32</v>
      </c>
      <c r="G348" s="1" t="s">
        <v>20</v>
      </c>
      <c r="H348" s="1" t="s">
        <v>66</v>
      </c>
      <c r="I348" s="1" t="s">
        <v>22</v>
      </c>
      <c r="J348" s="1" t="s">
        <v>35</v>
      </c>
      <c r="K348" s="1" t="s">
        <v>24</v>
      </c>
      <c r="L348" s="1" t="s">
        <v>72</v>
      </c>
      <c r="M348" s="1" t="s">
        <v>36</v>
      </c>
      <c r="N348" s="1" t="s">
        <v>87</v>
      </c>
    </row>
    <row r="349" spans="1:14" x14ac:dyDescent="0.3">
      <c r="A349" s="1" t="s">
        <v>1125</v>
      </c>
      <c r="B349" s="1" t="s">
        <v>1126</v>
      </c>
      <c r="C349" s="1" t="s">
        <v>115</v>
      </c>
      <c r="D349" s="1" t="s">
        <v>47</v>
      </c>
      <c r="E349" s="1" t="s">
        <v>42</v>
      </c>
      <c r="F349" s="1" t="s">
        <v>32</v>
      </c>
      <c r="G349" s="1" t="s">
        <v>20</v>
      </c>
      <c r="H349" s="1" t="s">
        <v>33</v>
      </c>
      <c r="I349" s="1" t="s">
        <v>22</v>
      </c>
      <c r="J349" s="1" t="s">
        <v>35</v>
      </c>
      <c r="K349" s="1" t="s">
        <v>24</v>
      </c>
      <c r="L349" s="1" t="s">
        <v>72</v>
      </c>
      <c r="M349" s="1" t="s">
        <v>36</v>
      </c>
      <c r="N349" s="1" t="s">
        <v>384</v>
      </c>
    </row>
    <row r="350" spans="1:14" x14ac:dyDescent="0.3">
      <c r="A350" s="1" t="s">
        <v>1127</v>
      </c>
      <c r="B350" s="1" t="s">
        <v>1128</v>
      </c>
      <c r="C350" s="1" t="s">
        <v>1129</v>
      </c>
      <c r="D350" s="1" t="s">
        <v>17</v>
      </c>
      <c r="E350" s="1" t="s">
        <v>1130</v>
      </c>
      <c r="F350" s="1" t="s">
        <v>32</v>
      </c>
      <c r="G350" s="1" t="s">
        <v>20</v>
      </c>
      <c r="H350" s="1" t="s">
        <v>33</v>
      </c>
      <c r="I350" s="1" t="s">
        <v>34</v>
      </c>
      <c r="J350" s="1" t="s">
        <v>35</v>
      </c>
      <c r="K350" s="1" t="s">
        <v>36</v>
      </c>
      <c r="L350" s="1" t="s">
        <v>72</v>
      </c>
      <c r="M350" s="1" t="s">
        <v>36</v>
      </c>
      <c r="N350" s="1" t="s">
        <v>720</v>
      </c>
    </row>
    <row r="351" spans="1:14" x14ac:dyDescent="0.3">
      <c r="A351" s="1" t="s">
        <v>1131</v>
      </c>
      <c r="B351" s="1" t="s">
        <v>1132</v>
      </c>
      <c r="C351" s="1" t="s">
        <v>29</v>
      </c>
      <c r="D351" s="1" t="s">
        <v>205</v>
      </c>
      <c r="E351" s="1" t="s">
        <v>31</v>
      </c>
      <c r="F351" s="1" t="s">
        <v>32</v>
      </c>
      <c r="G351" s="1" t="s">
        <v>20</v>
      </c>
      <c r="H351" s="1" t="s">
        <v>33</v>
      </c>
      <c r="I351" s="1" t="s">
        <v>34</v>
      </c>
      <c r="J351" s="1" t="s">
        <v>35</v>
      </c>
      <c r="K351" s="1" t="s">
        <v>36</v>
      </c>
      <c r="L351" s="1" t="s">
        <v>25</v>
      </c>
      <c r="M351" s="1" t="s">
        <v>36</v>
      </c>
      <c r="N351" s="1" t="s">
        <v>38</v>
      </c>
    </row>
    <row r="352" spans="1:14" x14ac:dyDescent="0.3">
      <c r="A352" s="1" t="s">
        <v>1133</v>
      </c>
      <c r="B352" s="1" t="s">
        <v>1134</v>
      </c>
      <c r="C352" s="1" t="s">
        <v>16</v>
      </c>
      <c r="D352" s="1" t="s">
        <v>1135</v>
      </c>
      <c r="E352" s="1" t="s">
        <v>278</v>
      </c>
      <c r="F352" s="1" t="s">
        <v>32</v>
      </c>
      <c r="G352" s="1" t="s">
        <v>20</v>
      </c>
      <c r="H352" s="1" t="s">
        <v>105</v>
      </c>
      <c r="I352" s="1" t="s">
        <v>34</v>
      </c>
      <c r="J352" s="1" t="s">
        <v>379</v>
      </c>
      <c r="K352" s="1" t="s">
        <v>36</v>
      </c>
      <c r="L352" s="1" t="s">
        <v>477</v>
      </c>
      <c r="M352" s="1" t="s">
        <v>36</v>
      </c>
      <c r="N352" s="1" t="s">
        <v>1136</v>
      </c>
    </row>
    <row r="353" spans="1:14" x14ac:dyDescent="0.3">
      <c r="A353" s="1" t="s">
        <v>1137</v>
      </c>
      <c r="B353" s="1" t="s">
        <v>1138</v>
      </c>
      <c r="C353" s="1" t="s">
        <v>29</v>
      </c>
      <c r="D353" s="1" t="s">
        <v>90</v>
      </c>
      <c r="E353" s="1" t="s">
        <v>31</v>
      </c>
      <c r="F353" s="1" t="s">
        <v>19</v>
      </c>
      <c r="G353" s="1" t="s">
        <v>20</v>
      </c>
      <c r="H353" s="1" t="s">
        <v>43</v>
      </c>
      <c r="I353" s="1" t="s">
        <v>34</v>
      </c>
      <c r="J353" s="1" t="s">
        <v>23</v>
      </c>
      <c r="K353" s="1" t="s">
        <v>24</v>
      </c>
      <c r="L353" s="1" t="s">
        <v>25</v>
      </c>
      <c r="M353" s="1" t="s">
        <v>36</v>
      </c>
      <c r="N353" s="1" t="s">
        <v>1139</v>
      </c>
    </row>
    <row r="354" spans="1:14" x14ac:dyDescent="0.3">
      <c r="A354" s="1" t="s">
        <v>1140</v>
      </c>
      <c r="B354" s="1" t="s">
        <v>1141</v>
      </c>
      <c r="C354" s="1" t="s">
        <v>29</v>
      </c>
      <c r="D354" s="1" t="s">
        <v>356</v>
      </c>
      <c r="E354" s="1" t="s">
        <v>359</v>
      </c>
      <c r="F354" s="1" t="s">
        <v>32</v>
      </c>
      <c r="G354" s="1" t="s">
        <v>20</v>
      </c>
      <c r="H354" s="1" t="s">
        <v>91</v>
      </c>
      <c r="I354" s="1" t="s">
        <v>22</v>
      </c>
      <c r="J354" s="1" t="s">
        <v>23</v>
      </c>
      <c r="K354" s="1" t="s">
        <v>24</v>
      </c>
      <c r="L354" s="1" t="s">
        <v>25</v>
      </c>
      <c r="M354" s="1" t="s">
        <v>36</v>
      </c>
      <c r="N354" s="1" t="s">
        <v>1142</v>
      </c>
    </row>
    <row r="355" spans="1:14" x14ac:dyDescent="0.3">
      <c r="A355" s="1" t="s">
        <v>1143</v>
      </c>
      <c r="B355" s="1" t="s">
        <v>1144</v>
      </c>
      <c r="C355" s="1" t="s">
        <v>29</v>
      </c>
      <c r="D355" s="1" t="s">
        <v>116</v>
      </c>
      <c r="E355" s="1" t="s">
        <v>31</v>
      </c>
      <c r="F355" s="1" t="s">
        <v>32</v>
      </c>
      <c r="G355" s="1" t="s">
        <v>20</v>
      </c>
      <c r="H355" s="1" t="s">
        <v>33</v>
      </c>
      <c r="I355" s="1" t="s">
        <v>34</v>
      </c>
      <c r="J355" s="1" t="s">
        <v>35</v>
      </c>
      <c r="K355" s="1" t="s">
        <v>36</v>
      </c>
      <c r="L355" s="1" t="s">
        <v>25</v>
      </c>
      <c r="M355" s="1" t="s">
        <v>36</v>
      </c>
      <c r="N355" s="1" t="s">
        <v>38</v>
      </c>
    </row>
    <row r="356" spans="1:14" x14ac:dyDescent="0.3">
      <c r="A356" s="1" t="s">
        <v>1145</v>
      </c>
      <c r="B356" s="1" t="s">
        <v>1146</v>
      </c>
      <c r="C356" s="1" t="s">
        <v>174</v>
      </c>
      <c r="D356" s="1" t="s">
        <v>17</v>
      </c>
      <c r="E356" s="1" t="s">
        <v>944</v>
      </c>
      <c r="F356" s="1" t="s">
        <v>32</v>
      </c>
      <c r="G356" s="1" t="s">
        <v>20</v>
      </c>
      <c r="H356" s="1" t="s">
        <v>243</v>
      </c>
      <c r="I356" s="1" t="s">
        <v>34</v>
      </c>
      <c r="J356" s="1" t="s">
        <v>23</v>
      </c>
      <c r="K356" s="1" t="s">
        <v>24</v>
      </c>
      <c r="L356" s="1" t="s">
        <v>25</v>
      </c>
      <c r="M356" s="1" t="s">
        <v>24</v>
      </c>
      <c r="N356" s="1" t="s">
        <v>106</v>
      </c>
    </row>
    <row r="357" spans="1:14" x14ac:dyDescent="0.3">
      <c r="A357" s="1" t="s">
        <v>1147</v>
      </c>
      <c r="B357" s="1" t="s">
        <v>1148</v>
      </c>
      <c r="C357" s="1" t="s">
        <v>84</v>
      </c>
      <c r="D357" s="1" t="s">
        <v>521</v>
      </c>
      <c r="E357" s="1" t="s">
        <v>1149</v>
      </c>
      <c r="F357" s="1" t="s">
        <v>32</v>
      </c>
      <c r="G357" s="1" t="s">
        <v>20</v>
      </c>
      <c r="H357" s="1" t="s">
        <v>105</v>
      </c>
      <c r="I357" s="1" t="s">
        <v>34</v>
      </c>
      <c r="J357" s="1" t="s">
        <v>23</v>
      </c>
      <c r="K357" s="1" t="s">
        <v>36</v>
      </c>
      <c r="L357" s="1" t="s">
        <v>562</v>
      </c>
      <c r="M357" s="1" t="s">
        <v>36</v>
      </c>
      <c r="N357" s="1" t="s">
        <v>1150</v>
      </c>
    </row>
    <row r="358" spans="1:14" x14ac:dyDescent="0.3">
      <c r="A358" s="1" t="s">
        <v>1151</v>
      </c>
      <c r="B358" s="1" t="s">
        <v>1152</v>
      </c>
      <c r="C358" s="1" t="s">
        <v>84</v>
      </c>
      <c r="D358" s="1" t="s">
        <v>660</v>
      </c>
      <c r="E358" s="1" t="s">
        <v>270</v>
      </c>
      <c r="F358" s="1" t="s">
        <v>32</v>
      </c>
      <c r="G358" s="1" t="s">
        <v>20</v>
      </c>
      <c r="H358" s="1" t="s">
        <v>135</v>
      </c>
      <c r="I358" s="1" t="s">
        <v>22</v>
      </c>
      <c r="J358" s="1" t="s">
        <v>50</v>
      </c>
      <c r="K358" s="1" t="s">
        <v>24</v>
      </c>
      <c r="L358" s="1" t="s">
        <v>25</v>
      </c>
      <c r="M358" s="1" t="s">
        <v>36</v>
      </c>
      <c r="N358" s="1" t="s">
        <v>1153</v>
      </c>
    </row>
    <row r="359" spans="1:14" x14ac:dyDescent="0.3">
      <c r="A359" s="1" t="s">
        <v>1154</v>
      </c>
      <c r="B359" s="1" t="s">
        <v>1155</v>
      </c>
      <c r="C359" s="1" t="s">
        <v>1156</v>
      </c>
      <c r="D359" s="1" t="s">
        <v>76</v>
      </c>
      <c r="E359" s="1" t="s">
        <v>60</v>
      </c>
      <c r="F359" s="1" t="s">
        <v>32</v>
      </c>
      <c r="G359" s="1" t="s">
        <v>20</v>
      </c>
      <c r="H359" s="1" t="s">
        <v>33</v>
      </c>
      <c r="I359" s="1" t="s">
        <v>34</v>
      </c>
      <c r="J359" s="1" t="s">
        <v>35</v>
      </c>
      <c r="K359" s="1" t="s">
        <v>36</v>
      </c>
      <c r="L359" s="1" t="s">
        <v>25</v>
      </c>
      <c r="M359" s="1" t="s">
        <v>36</v>
      </c>
      <c r="N359" s="1" t="s">
        <v>440</v>
      </c>
    </row>
    <row r="360" spans="1:14" x14ac:dyDescent="0.3">
      <c r="A360" s="1" t="s">
        <v>1157</v>
      </c>
      <c r="B360" s="1" t="s">
        <v>889</v>
      </c>
      <c r="C360" s="1" t="s">
        <v>890</v>
      </c>
      <c r="D360" s="1" t="s">
        <v>635</v>
      </c>
      <c r="E360" s="1" t="s">
        <v>206</v>
      </c>
      <c r="F360" s="1" t="s">
        <v>32</v>
      </c>
      <c r="G360" s="1" t="s">
        <v>20</v>
      </c>
      <c r="H360" s="1" t="s">
        <v>33</v>
      </c>
      <c r="I360" s="1" t="s">
        <v>22</v>
      </c>
      <c r="J360" s="1" t="s">
        <v>35</v>
      </c>
      <c r="K360" s="1" t="s">
        <v>24</v>
      </c>
      <c r="L360" s="1" t="s">
        <v>25</v>
      </c>
      <c r="M360" s="1" t="s">
        <v>36</v>
      </c>
      <c r="N360" s="1" t="s">
        <v>891</v>
      </c>
    </row>
    <row r="361" spans="1:14" x14ac:dyDescent="0.3">
      <c r="A361" s="1" t="s">
        <v>1158</v>
      </c>
      <c r="B361" s="1" t="s">
        <v>1159</v>
      </c>
      <c r="C361" s="1" t="s">
        <v>174</v>
      </c>
      <c r="D361" s="1" t="s">
        <v>17</v>
      </c>
      <c r="E361" s="1" t="s">
        <v>944</v>
      </c>
      <c r="F361" s="1" t="s">
        <v>32</v>
      </c>
      <c r="G361" s="1" t="s">
        <v>20</v>
      </c>
      <c r="H361" s="1" t="s">
        <v>243</v>
      </c>
      <c r="I361" s="1" t="s">
        <v>34</v>
      </c>
      <c r="J361" s="1" t="s">
        <v>23</v>
      </c>
      <c r="K361" s="1" t="s">
        <v>24</v>
      </c>
      <c r="L361" s="1" t="s">
        <v>25</v>
      </c>
      <c r="M361" s="1" t="s">
        <v>24</v>
      </c>
      <c r="N361" s="1" t="s">
        <v>106</v>
      </c>
    </row>
    <row r="362" spans="1:14" x14ac:dyDescent="0.3">
      <c r="A362" s="1" t="s">
        <v>1160</v>
      </c>
      <c r="B362" s="1" t="s">
        <v>418</v>
      </c>
      <c r="C362" s="1" t="s">
        <v>1161</v>
      </c>
      <c r="D362" s="1" t="s">
        <v>981</v>
      </c>
      <c r="E362" s="1" t="s">
        <v>143</v>
      </c>
      <c r="F362" s="1" t="s">
        <v>32</v>
      </c>
      <c r="G362" s="1" t="s">
        <v>20</v>
      </c>
      <c r="H362" s="1" t="s">
        <v>105</v>
      </c>
      <c r="I362" s="1" t="s">
        <v>34</v>
      </c>
      <c r="J362" s="1" t="s">
        <v>23</v>
      </c>
      <c r="K362" s="1" t="s">
        <v>36</v>
      </c>
      <c r="L362" s="1" t="s">
        <v>562</v>
      </c>
      <c r="M362" s="1" t="s">
        <v>36</v>
      </c>
      <c r="N362" s="1" t="s">
        <v>257</v>
      </c>
    </row>
    <row r="363" spans="1:14" x14ac:dyDescent="0.3">
      <c r="A363" s="1" t="s">
        <v>1162</v>
      </c>
      <c r="B363" s="1" t="s">
        <v>1163</v>
      </c>
      <c r="C363" s="1" t="s">
        <v>1164</v>
      </c>
      <c r="D363" s="1" t="s">
        <v>84</v>
      </c>
      <c r="E363" s="1" t="s">
        <v>210</v>
      </c>
      <c r="F363" s="1" t="s">
        <v>32</v>
      </c>
      <c r="G363" s="1" t="s">
        <v>20</v>
      </c>
      <c r="H363" s="1" t="s">
        <v>98</v>
      </c>
      <c r="I363" s="1" t="s">
        <v>34</v>
      </c>
      <c r="J363" s="1" t="s">
        <v>23</v>
      </c>
      <c r="K363" s="1" t="s">
        <v>36</v>
      </c>
      <c r="L363" s="1" t="s">
        <v>25</v>
      </c>
      <c r="M363" s="1" t="s">
        <v>36</v>
      </c>
      <c r="N363" s="1" t="s">
        <v>106</v>
      </c>
    </row>
    <row r="364" spans="1:14" x14ac:dyDescent="0.3">
      <c r="A364" s="1" t="s">
        <v>1165</v>
      </c>
      <c r="B364" s="1" t="s">
        <v>857</v>
      </c>
      <c r="C364" s="1" t="s">
        <v>29</v>
      </c>
      <c r="D364" s="1" t="s">
        <v>480</v>
      </c>
      <c r="E364" s="1" t="s">
        <v>110</v>
      </c>
      <c r="F364" s="1" t="s">
        <v>19</v>
      </c>
      <c r="G364" s="1" t="s">
        <v>20</v>
      </c>
      <c r="H364" s="1" t="s">
        <v>322</v>
      </c>
      <c r="I364" s="1" t="s">
        <v>22</v>
      </c>
      <c r="J364" s="1" t="s">
        <v>35</v>
      </c>
      <c r="K364" s="1" t="s">
        <v>24</v>
      </c>
      <c r="L364" s="1" t="s">
        <v>25</v>
      </c>
      <c r="M364" s="1" t="s">
        <v>36</v>
      </c>
      <c r="N364" s="1" t="s">
        <v>858</v>
      </c>
    </row>
    <row r="365" spans="1:14" x14ac:dyDescent="0.3">
      <c r="A365" s="1" t="s">
        <v>1166</v>
      </c>
      <c r="B365" s="1" t="s">
        <v>1167</v>
      </c>
      <c r="C365" s="1" t="s">
        <v>1168</v>
      </c>
      <c r="D365" s="1" t="s">
        <v>47</v>
      </c>
      <c r="E365" s="1" t="s">
        <v>506</v>
      </c>
      <c r="F365" s="1" t="s">
        <v>32</v>
      </c>
      <c r="G365" s="1" t="s">
        <v>20</v>
      </c>
      <c r="H365" s="1" t="s">
        <v>43</v>
      </c>
      <c r="I365" s="1" t="s">
        <v>34</v>
      </c>
      <c r="J365" s="1" t="s">
        <v>35</v>
      </c>
      <c r="K365" s="1" t="s">
        <v>24</v>
      </c>
      <c r="L365" s="1" t="s">
        <v>25</v>
      </c>
      <c r="M365" s="1" t="s">
        <v>24</v>
      </c>
      <c r="N365" s="1" t="s">
        <v>1169</v>
      </c>
    </row>
    <row r="366" spans="1:14" x14ac:dyDescent="0.3">
      <c r="A366" s="1" t="s">
        <v>1170</v>
      </c>
      <c r="B366" s="1" t="s">
        <v>1171</v>
      </c>
      <c r="C366" s="1" t="s">
        <v>47</v>
      </c>
      <c r="D366" s="1" t="s">
        <v>41</v>
      </c>
      <c r="E366" s="1" t="s">
        <v>798</v>
      </c>
      <c r="F366" s="1" t="s">
        <v>32</v>
      </c>
      <c r="G366" s="1" t="s">
        <v>20</v>
      </c>
      <c r="H366" s="1" t="s">
        <v>105</v>
      </c>
      <c r="I366" s="1" t="s">
        <v>34</v>
      </c>
      <c r="J366" s="1" t="s">
        <v>23</v>
      </c>
      <c r="K366" s="1" t="s">
        <v>36</v>
      </c>
      <c r="L366" s="1" t="s">
        <v>25</v>
      </c>
      <c r="M366" s="1" t="s">
        <v>24</v>
      </c>
      <c r="N366" s="1" t="s">
        <v>106</v>
      </c>
    </row>
    <row r="367" spans="1:14" x14ac:dyDescent="0.3">
      <c r="A367" s="1" t="s">
        <v>1172</v>
      </c>
      <c r="B367" s="1" t="s">
        <v>138</v>
      </c>
      <c r="C367" s="1" t="s">
        <v>174</v>
      </c>
      <c r="D367" s="1" t="s">
        <v>537</v>
      </c>
      <c r="E367" s="1" t="s">
        <v>175</v>
      </c>
      <c r="F367" s="1" t="s">
        <v>32</v>
      </c>
      <c r="G367" s="1" t="s">
        <v>20</v>
      </c>
      <c r="H367" s="1" t="s">
        <v>33</v>
      </c>
      <c r="I367" s="1" t="s">
        <v>22</v>
      </c>
      <c r="J367" s="1" t="s">
        <v>35</v>
      </c>
      <c r="K367" s="1" t="s">
        <v>24</v>
      </c>
      <c r="L367" s="1" t="s">
        <v>72</v>
      </c>
      <c r="M367" s="1" t="s">
        <v>36</v>
      </c>
      <c r="N367" s="1" t="s">
        <v>87</v>
      </c>
    </row>
    <row r="368" spans="1:14" x14ac:dyDescent="0.3">
      <c r="A368" s="1" t="s">
        <v>1173</v>
      </c>
      <c r="B368" s="1" t="s">
        <v>867</v>
      </c>
      <c r="C368" s="1" t="s">
        <v>16</v>
      </c>
      <c r="D368" s="1" t="s">
        <v>356</v>
      </c>
      <c r="E368" s="1" t="s">
        <v>506</v>
      </c>
      <c r="F368" s="1" t="s">
        <v>19</v>
      </c>
      <c r="G368" s="1" t="s">
        <v>20</v>
      </c>
      <c r="H368" s="1" t="s">
        <v>43</v>
      </c>
      <c r="I368" s="1" t="s">
        <v>22</v>
      </c>
      <c r="J368" s="1" t="s">
        <v>35</v>
      </c>
      <c r="K368" s="1" t="s">
        <v>24</v>
      </c>
      <c r="L368" s="1" t="s">
        <v>25</v>
      </c>
      <c r="M368" s="1" t="s">
        <v>36</v>
      </c>
      <c r="N368" s="1" t="s">
        <v>858</v>
      </c>
    </row>
    <row r="369" spans="1:14" x14ac:dyDescent="0.3">
      <c r="A369" s="1" t="s">
        <v>1174</v>
      </c>
      <c r="B369" s="1" t="s">
        <v>1175</v>
      </c>
      <c r="C369" s="1" t="s">
        <v>16</v>
      </c>
      <c r="D369" s="1" t="s">
        <v>174</v>
      </c>
      <c r="E369" s="1" t="s">
        <v>1176</v>
      </c>
      <c r="F369" s="1" t="s">
        <v>32</v>
      </c>
      <c r="G369" s="1" t="s">
        <v>20</v>
      </c>
      <c r="H369" s="1" t="s">
        <v>105</v>
      </c>
      <c r="I369" s="1" t="s">
        <v>211</v>
      </c>
      <c r="J369" s="1" t="s">
        <v>23</v>
      </c>
      <c r="K369" s="1" t="s">
        <v>36</v>
      </c>
      <c r="L369" s="1" t="s">
        <v>25</v>
      </c>
      <c r="M369" s="1" t="s">
        <v>24</v>
      </c>
      <c r="N369" s="1" t="s">
        <v>106</v>
      </c>
    </row>
    <row r="370" spans="1:14" x14ac:dyDescent="0.3">
      <c r="A370" s="1" t="s">
        <v>1177</v>
      </c>
      <c r="B370" s="1" t="s">
        <v>1178</v>
      </c>
      <c r="C370" s="1" t="s">
        <v>47</v>
      </c>
      <c r="D370" s="1" t="s">
        <v>64</v>
      </c>
      <c r="E370" s="1" t="s">
        <v>56</v>
      </c>
      <c r="F370" s="1" t="s">
        <v>32</v>
      </c>
      <c r="G370" s="1" t="s">
        <v>20</v>
      </c>
      <c r="H370" s="1" t="s">
        <v>66</v>
      </c>
      <c r="I370" s="1" t="s">
        <v>34</v>
      </c>
      <c r="J370" s="1" t="s">
        <v>50</v>
      </c>
      <c r="K370" s="1" t="s">
        <v>24</v>
      </c>
      <c r="L370" s="1" t="s">
        <v>25</v>
      </c>
      <c r="M370" s="1" t="s">
        <v>36</v>
      </c>
      <c r="N370" s="1" t="s">
        <v>158</v>
      </c>
    </row>
    <row r="371" spans="1:14" x14ac:dyDescent="0.3">
      <c r="A371" s="1" t="s">
        <v>1179</v>
      </c>
      <c r="B371" s="1" t="s">
        <v>1180</v>
      </c>
      <c r="C371" s="1" t="s">
        <v>126</v>
      </c>
      <c r="D371" s="1" t="s">
        <v>1181</v>
      </c>
      <c r="E371" s="1" t="s">
        <v>374</v>
      </c>
      <c r="F371" s="1" t="s">
        <v>32</v>
      </c>
      <c r="G371" s="1" t="s">
        <v>20</v>
      </c>
      <c r="H371" s="1" t="s">
        <v>21</v>
      </c>
      <c r="I371" s="1" t="s">
        <v>211</v>
      </c>
      <c r="J371" s="1" t="s">
        <v>23</v>
      </c>
      <c r="K371" s="1" t="s">
        <v>24</v>
      </c>
      <c r="L371" s="1" t="s">
        <v>25</v>
      </c>
      <c r="M371" s="1" t="s">
        <v>24</v>
      </c>
      <c r="N371" s="1" t="s">
        <v>106</v>
      </c>
    </row>
    <row r="372" spans="1:14" x14ac:dyDescent="0.3">
      <c r="A372" s="1" t="s">
        <v>1182</v>
      </c>
      <c r="B372" s="1" t="s">
        <v>1183</v>
      </c>
      <c r="C372" s="1" t="s">
        <v>16</v>
      </c>
      <c r="D372" s="1" t="s">
        <v>170</v>
      </c>
      <c r="E372" s="1" t="s">
        <v>77</v>
      </c>
      <c r="F372" s="1" t="s">
        <v>32</v>
      </c>
      <c r="G372" s="1" t="s">
        <v>20</v>
      </c>
      <c r="H372" s="1" t="s">
        <v>66</v>
      </c>
      <c r="I372" s="1" t="s">
        <v>34</v>
      </c>
      <c r="J372" s="1" t="s">
        <v>50</v>
      </c>
      <c r="K372" s="1" t="s">
        <v>24</v>
      </c>
      <c r="L372" s="1" t="s">
        <v>25</v>
      </c>
      <c r="M372" s="1" t="s">
        <v>36</v>
      </c>
      <c r="N372" s="1" t="s">
        <v>112</v>
      </c>
    </row>
    <row r="373" spans="1:14" x14ac:dyDescent="0.3">
      <c r="A373" s="1" t="s">
        <v>1184</v>
      </c>
      <c r="B373" s="1" t="s">
        <v>899</v>
      </c>
      <c r="C373" s="1" t="s">
        <v>126</v>
      </c>
      <c r="D373" s="1" t="s">
        <v>928</v>
      </c>
      <c r="E373" s="1" t="s">
        <v>210</v>
      </c>
      <c r="F373" s="1" t="s">
        <v>32</v>
      </c>
      <c r="G373" s="1" t="s">
        <v>20</v>
      </c>
      <c r="H373" s="1" t="s">
        <v>33</v>
      </c>
      <c r="I373" s="1" t="s">
        <v>22</v>
      </c>
      <c r="J373" s="1" t="s">
        <v>35</v>
      </c>
      <c r="K373" s="1" t="s">
        <v>24</v>
      </c>
      <c r="L373" s="1" t="s">
        <v>72</v>
      </c>
      <c r="M373" s="1" t="s">
        <v>36</v>
      </c>
      <c r="N373" s="1" t="s">
        <v>900</v>
      </c>
    </row>
    <row r="374" spans="1:14" x14ac:dyDescent="0.3">
      <c r="A374" s="1" t="s">
        <v>1185</v>
      </c>
      <c r="B374" s="1" t="s">
        <v>1186</v>
      </c>
      <c r="C374" s="1" t="s">
        <v>126</v>
      </c>
      <c r="D374" s="1" t="s">
        <v>84</v>
      </c>
      <c r="E374" s="1" t="s">
        <v>242</v>
      </c>
      <c r="F374" s="1" t="s">
        <v>32</v>
      </c>
      <c r="G374" s="1" t="s">
        <v>20</v>
      </c>
      <c r="H374" s="1" t="s">
        <v>21</v>
      </c>
      <c r="I374" s="1" t="s">
        <v>34</v>
      </c>
      <c r="J374" s="1" t="s">
        <v>23</v>
      </c>
      <c r="K374" s="1" t="s">
        <v>24</v>
      </c>
      <c r="L374" s="1" t="s">
        <v>25</v>
      </c>
      <c r="M374" s="1" t="s">
        <v>24</v>
      </c>
      <c r="N374" s="1" t="s">
        <v>106</v>
      </c>
    </row>
    <row r="375" spans="1:14" x14ac:dyDescent="0.3">
      <c r="A375" s="1" t="s">
        <v>1187</v>
      </c>
      <c r="B375" s="1" t="s">
        <v>1186</v>
      </c>
      <c r="C375" s="1" t="s">
        <v>126</v>
      </c>
      <c r="D375" s="1" t="s">
        <v>84</v>
      </c>
      <c r="E375" s="1" t="s">
        <v>242</v>
      </c>
      <c r="F375" s="1" t="s">
        <v>32</v>
      </c>
      <c r="G375" s="1" t="s">
        <v>20</v>
      </c>
      <c r="H375" s="1" t="s">
        <v>21</v>
      </c>
      <c r="I375" s="1" t="s">
        <v>34</v>
      </c>
      <c r="J375" s="1" t="s">
        <v>23</v>
      </c>
      <c r="K375" s="1" t="s">
        <v>24</v>
      </c>
      <c r="L375" s="1" t="s">
        <v>25</v>
      </c>
      <c r="M375" s="1" t="s">
        <v>24</v>
      </c>
      <c r="N375" s="1" t="s">
        <v>106</v>
      </c>
    </row>
    <row r="376" spans="1:14" x14ac:dyDescent="0.3">
      <c r="A376" s="1" t="s">
        <v>1188</v>
      </c>
      <c r="B376" s="1" t="s">
        <v>1189</v>
      </c>
      <c r="C376" s="1" t="s">
        <v>1190</v>
      </c>
      <c r="D376" s="1" t="s">
        <v>1191</v>
      </c>
      <c r="E376" s="1" t="s">
        <v>1192</v>
      </c>
      <c r="F376" s="1" t="s">
        <v>32</v>
      </c>
      <c r="G376" s="1" t="s">
        <v>20</v>
      </c>
      <c r="H376" s="1" t="s">
        <v>98</v>
      </c>
      <c r="I376" s="1" t="s">
        <v>22</v>
      </c>
      <c r="J376" s="1" t="s">
        <v>35</v>
      </c>
      <c r="K376" s="1" t="s">
        <v>36</v>
      </c>
      <c r="L376" s="1" t="s">
        <v>25</v>
      </c>
      <c r="M376" s="1" t="s">
        <v>36</v>
      </c>
      <c r="N376" s="1" t="s">
        <v>1193</v>
      </c>
    </row>
    <row r="377" spans="1:14" x14ac:dyDescent="0.3">
      <c r="A377" s="1" t="s">
        <v>1194</v>
      </c>
      <c r="B377" s="1" t="s">
        <v>873</v>
      </c>
      <c r="C377" s="1" t="s">
        <v>874</v>
      </c>
      <c r="D377" s="1" t="s">
        <v>1195</v>
      </c>
      <c r="E377" s="1" t="s">
        <v>251</v>
      </c>
      <c r="F377" s="1" t="s">
        <v>32</v>
      </c>
      <c r="G377" s="1" t="s">
        <v>20</v>
      </c>
      <c r="H377" s="1" t="s">
        <v>43</v>
      </c>
      <c r="I377" s="1" t="s">
        <v>22</v>
      </c>
      <c r="J377" s="1" t="s">
        <v>50</v>
      </c>
      <c r="K377" s="1" t="s">
        <v>24</v>
      </c>
      <c r="L377" s="1" t="s">
        <v>72</v>
      </c>
      <c r="M377" s="1" t="s">
        <v>36</v>
      </c>
      <c r="N377" s="1" t="s">
        <v>87</v>
      </c>
    </row>
    <row r="378" spans="1:14" x14ac:dyDescent="0.3">
      <c r="A378" s="1" t="s">
        <v>1196</v>
      </c>
      <c r="B378" s="1" t="s">
        <v>1197</v>
      </c>
      <c r="C378" s="1" t="s">
        <v>84</v>
      </c>
      <c r="D378" s="1" t="s">
        <v>70</v>
      </c>
      <c r="E378" s="1" t="s">
        <v>682</v>
      </c>
      <c r="F378" s="1" t="s">
        <v>32</v>
      </c>
      <c r="G378" s="1" t="s">
        <v>20</v>
      </c>
      <c r="H378" s="1" t="s">
        <v>66</v>
      </c>
      <c r="I378" s="1" t="s">
        <v>22</v>
      </c>
      <c r="J378" s="1" t="s">
        <v>35</v>
      </c>
      <c r="K378" s="1" t="s">
        <v>36</v>
      </c>
      <c r="L378" s="1" t="s">
        <v>449</v>
      </c>
      <c r="M378" s="1" t="s">
        <v>36</v>
      </c>
      <c r="N378" s="1" t="s">
        <v>602</v>
      </c>
    </row>
    <row r="379" spans="1:14" x14ac:dyDescent="0.3">
      <c r="A379" s="1" t="s">
        <v>1198</v>
      </c>
      <c r="B379" s="1" t="s">
        <v>1199</v>
      </c>
      <c r="C379" s="1" t="s">
        <v>16</v>
      </c>
      <c r="D379" s="1" t="s">
        <v>250</v>
      </c>
      <c r="E379" s="1" t="s">
        <v>251</v>
      </c>
      <c r="F379" s="1" t="s">
        <v>32</v>
      </c>
      <c r="G379" s="1" t="s">
        <v>20</v>
      </c>
      <c r="H379" s="1" t="s">
        <v>43</v>
      </c>
      <c r="I379" s="1" t="s">
        <v>22</v>
      </c>
      <c r="J379" s="1" t="s">
        <v>35</v>
      </c>
      <c r="K379" s="1" t="s">
        <v>24</v>
      </c>
      <c r="L379" s="1" t="s">
        <v>72</v>
      </c>
      <c r="M379" s="1" t="s">
        <v>36</v>
      </c>
      <c r="N379" s="1" t="s">
        <v>73</v>
      </c>
    </row>
    <row r="380" spans="1:14" x14ac:dyDescent="0.3">
      <c r="A380" s="1" t="s">
        <v>1200</v>
      </c>
      <c r="B380" s="1" t="s">
        <v>1186</v>
      </c>
      <c r="C380" s="1" t="s">
        <v>1201</v>
      </c>
      <c r="D380" s="1" t="s">
        <v>1181</v>
      </c>
      <c r="E380" s="1" t="s">
        <v>153</v>
      </c>
      <c r="F380" s="1" t="s">
        <v>32</v>
      </c>
      <c r="G380" s="1" t="s">
        <v>20</v>
      </c>
      <c r="H380" s="1" t="s">
        <v>21</v>
      </c>
      <c r="I380" s="1" t="s">
        <v>211</v>
      </c>
      <c r="J380" s="1" t="s">
        <v>23</v>
      </c>
      <c r="K380" s="1" t="s">
        <v>24</v>
      </c>
      <c r="L380" s="1" t="s">
        <v>25</v>
      </c>
      <c r="M380" s="1" t="s">
        <v>24</v>
      </c>
      <c r="N380" s="1" t="s">
        <v>106</v>
      </c>
    </row>
    <row r="381" spans="1:14" x14ac:dyDescent="0.3">
      <c r="A381" s="1" t="s">
        <v>1202</v>
      </c>
      <c r="B381" s="1" t="s">
        <v>1203</v>
      </c>
      <c r="C381" s="1" t="s">
        <v>126</v>
      </c>
      <c r="D381" s="1" t="s">
        <v>1181</v>
      </c>
      <c r="E381" s="1" t="s">
        <v>374</v>
      </c>
      <c r="F381" s="1" t="s">
        <v>32</v>
      </c>
      <c r="G381" s="1" t="s">
        <v>20</v>
      </c>
      <c r="H381" s="1" t="s">
        <v>21</v>
      </c>
      <c r="I381" s="1" t="s">
        <v>211</v>
      </c>
      <c r="J381" s="1" t="s">
        <v>23</v>
      </c>
      <c r="K381" s="1" t="s">
        <v>24</v>
      </c>
      <c r="L381" s="1" t="s">
        <v>25</v>
      </c>
      <c r="M381" s="1" t="s">
        <v>24</v>
      </c>
      <c r="N381" s="1" t="s">
        <v>106</v>
      </c>
    </row>
    <row r="382" spans="1:14" x14ac:dyDescent="0.3">
      <c r="A382" s="1" t="s">
        <v>1204</v>
      </c>
      <c r="B382" s="1" t="s">
        <v>1205</v>
      </c>
      <c r="C382" s="1" t="s">
        <v>47</v>
      </c>
      <c r="D382" s="1" t="s">
        <v>416</v>
      </c>
      <c r="E382" s="1" t="s">
        <v>251</v>
      </c>
      <c r="F382" s="1" t="s">
        <v>25</v>
      </c>
      <c r="G382" s="1" t="s">
        <v>20</v>
      </c>
      <c r="H382" s="1" t="s">
        <v>33</v>
      </c>
      <c r="I382" s="1" t="s">
        <v>22</v>
      </c>
      <c r="J382" s="1" t="s">
        <v>35</v>
      </c>
      <c r="K382" s="1" t="s">
        <v>24</v>
      </c>
      <c r="L382" s="1" t="s">
        <v>72</v>
      </c>
      <c r="M382" s="1" t="s">
        <v>36</v>
      </c>
      <c r="N382" s="1" t="s">
        <v>87</v>
      </c>
    </row>
    <row r="383" spans="1:14" x14ac:dyDescent="0.3">
      <c r="A383" s="1" t="s">
        <v>1206</v>
      </c>
      <c r="B383" s="1" t="s">
        <v>899</v>
      </c>
      <c r="C383" s="1" t="s">
        <v>415</v>
      </c>
      <c r="D383" s="1" t="s">
        <v>921</v>
      </c>
      <c r="E383" s="1" t="s">
        <v>739</v>
      </c>
      <c r="F383" s="1" t="s">
        <v>32</v>
      </c>
      <c r="G383" s="1" t="s">
        <v>20</v>
      </c>
      <c r="H383" s="1" t="s">
        <v>33</v>
      </c>
      <c r="I383" s="1" t="s">
        <v>22</v>
      </c>
      <c r="J383" s="1" t="s">
        <v>35</v>
      </c>
      <c r="K383" s="1" t="s">
        <v>24</v>
      </c>
      <c r="L383" s="1" t="s">
        <v>72</v>
      </c>
      <c r="M383" s="1" t="s">
        <v>36</v>
      </c>
      <c r="N383" s="1" t="s">
        <v>900</v>
      </c>
    </row>
    <row r="384" spans="1:14" x14ac:dyDescent="0.3">
      <c r="A384" s="1" t="s">
        <v>1207</v>
      </c>
      <c r="B384" s="1" t="s">
        <v>1208</v>
      </c>
      <c r="C384" s="1" t="s">
        <v>890</v>
      </c>
      <c r="D384" s="1" t="s">
        <v>84</v>
      </c>
      <c r="E384" s="1" t="s">
        <v>525</v>
      </c>
      <c r="F384" s="1" t="s">
        <v>32</v>
      </c>
      <c r="G384" s="1" t="s">
        <v>20</v>
      </c>
      <c r="H384" s="1" t="s">
        <v>21</v>
      </c>
      <c r="I384" s="1" t="s">
        <v>211</v>
      </c>
      <c r="J384" s="1" t="s">
        <v>23</v>
      </c>
      <c r="K384" s="1" t="s">
        <v>24</v>
      </c>
      <c r="L384" s="1" t="s">
        <v>25</v>
      </c>
      <c r="M384" s="1" t="s">
        <v>24</v>
      </c>
      <c r="N384" s="1" t="s">
        <v>106</v>
      </c>
    </row>
    <row r="385" spans="1:14" x14ac:dyDescent="0.3">
      <c r="A385" s="1" t="s">
        <v>1209</v>
      </c>
      <c r="B385" s="1" t="s">
        <v>1208</v>
      </c>
      <c r="C385" s="1" t="s">
        <v>126</v>
      </c>
      <c r="D385" s="1" t="s">
        <v>84</v>
      </c>
      <c r="E385" s="1" t="s">
        <v>242</v>
      </c>
      <c r="F385" s="1" t="s">
        <v>32</v>
      </c>
      <c r="G385" s="1" t="s">
        <v>20</v>
      </c>
      <c r="H385" s="1" t="s">
        <v>21</v>
      </c>
      <c r="I385" s="1" t="s">
        <v>211</v>
      </c>
      <c r="J385" s="1" t="s">
        <v>23</v>
      </c>
      <c r="K385" s="1" t="s">
        <v>24</v>
      </c>
      <c r="L385" s="1" t="s">
        <v>25</v>
      </c>
      <c r="M385" s="1" t="s">
        <v>24</v>
      </c>
      <c r="N385" s="1" t="s">
        <v>106</v>
      </c>
    </row>
    <row r="386" spans="1:14" x14ac:dyDescent="0.3">
      <c r="A386" s="1" t="s">
        <v>1210</v>
      </c>
      <c r="B386" s="1" t="s">
        <v>1211</v>
      </c>
      <c r="C386" s="1" t="s">
        <v>126</v>
      </c>
      <c r="D386" s="1" t="s">
        <v>127</v>
      </c>
      <c r="E386" s="1" t="s">
        <v>18</v>
      </c>
      <c r="F386" s="1" t="s">
        <v>19</v>
      </c>
      <c r="G386" s="1" t="s">
        <v>20</v>
      </c>
      <c r="H386" s="1" t="s">
        <v>66</v>
      </c>
      <c r="I386" s="1" t="s">
        <v>34</v>
      </c>
      <c r="J386" s="1" t="s">
        <v>35</v>
      </c>
      <c r="K386" s="1" t="s">
        <v>24</v>
      </c>
      <c r="L386" s="1" t="s">
        <v>78</v>
      </c>
      <c r="M386" s="1" t="s">
        <v>36</v>
      </c>
      <c r="N386" s="1" t="s">
        <v>213</v>
      </c>
    </row>
    <row r="387" spans="1:14" x14ac:dyDescent="0.3">
      <c r="A387" s="1" t="s">
        <v>1212</v>
      </c>
      <c r="B387" s="1" t="s">
        <v>1213</v>
      </c>
      <c r="C387" s="1" t="s">
        <v>174</v>
      </c>
      <c r="D387" s="1" t="s">
        <v>17</v>
      </c>
      <c r="E387" s="1" t="s">
        <v>944</v>
      </c>
      <c r="F387" s="1" t="s">
        <v>32</v>
      </c>
      <c r="G387" s="1" t="s">
        <v>20</v>
      </c>
      <c r="H387" s="1" t="s">
        <v>383</v>
      </c>
      <c r="I387" s="1" t="s">
        <v>34</v>
      </c>
      <c r="J387" s="1" t="s">
        <v>23</v>
      </c>
      <c r="K387" s="1" t="s">
        <v>24</v>
      </c>
      <c r="L387" s="1" t="s">
        <v>25</v>
      </c>
      <c r="M387" s="1" t="s">
        <v>24</v>
      </c>
      <c r="N387" s="1" t="s">
        <v>106</v>
      </c>
    </row>
    <row r="388" spans="1:14" x14ac:dyDescent="0.3">
      <c r="A388" s="1" t="s">
        <v>1214</v>
      </c>
      <c r="B388" s="1" t="s">
        <v>899</v>
      </c>
      <c r="C388" s="1" t="s">
        <v>657</v>
      </c>
      <c r="D388" s="1" t="s">
        <v>702</v>
      </c>
      <c r="E388" s="1" t="s">
        <v>256</v>
      </c>
      <c r="F388" s="1" t="s">
        <v>32</v>
      </c>
      <c r="G388" s="1" t="s">
        <v>20</v>
      </c>
      <c r="H388" s="1" t="s">
        <v>33</v>
      </c>
      <c r="I388" s="1" t="s">
        <v>22</v>
      </c>
      <c r="J388" s="1" t="s">
        <v>35</v>
      </c>
      <c r="K388" s="1" t="s">
        <v>24</v>
      </c>
      <c r="L388" s="1" t="s">
        <v>72</v>
      </c>
      <c r="M388" s="1" t="s">
        <v>36</v>
      </c>
      <c r="N388" s="1" t="s">
        <v>900</v>
      </c>
    </row>
    <row r="389" spans="1:14" x14ac:dyDescent="0.3">
      <c r="A389" s="1" t="s">
        <v>1215</v>
      </c>
      <c r="B389" s="1" t="s">
        <v>1216</v>
      </c>
      <c r="C389" s="1" t="s">
        <v>16</v>
      </c>
      <c r="D389" s="1" t="s">
        <v>41</v>
      </c>
      <c r="E389" s="1" t="s">
        <v>42</v>
      </c>
      <c r="F389" s="1" t="s">
        <v>32</v>
      </c>
      <c r="G389" s="1" t="s">
        <v>20</v>
      </c>
      <c r="H389" s="1" t="s">
        <v>243</v>
      </c>
      <c r="I389" s="1" t="s">
        <v>34</v>
      </c>
      <c r="J389" s="1" t="s">
        <v>23</v>
      </c>
      <c r="K389" s="1" t="s">
        <v>24</v>
      </c>
      <c r="L389" s="1" t="s">
        <v>25</v>
      </c>
      <c r="M389" s="1" t="s">
        <v>24</v>
      </c>
      <c r="N389" s="1" t="s">
        <v>106</v>
      </c>
    </row>
    <row r="390" spans="1:14" x14ac:dyDescent="0.3">
      <c r="A390" s="1" t="s">
        <v>1217</v>
      </c>
      <c r="B390" s="1" t="s">
        <v>1208</v>
      </c>
      <c r="C390" s="1" t="s">
        <v>126</v>
      </c>
      <c r="D390" s="1" t="s">
        <v>84</v>
      </c>
      <c r="E390" s="1" t="s">
        <v>242</v>
      </c>
      <c r="F390" s="1" t="s">
        <v>32</v>
      </c>
      <c r="G390" s="1" t="s">
        <v>20</v>
      </c>
      <c r="H390" s="1" t="s">
        <v>21</v>
      </c>
      <c r="I390" s="1" t="s">
        <v>211</v>
      </c>
      <c r="J390" s="1" t="s">
        <v>23</v>
      </c>
      <c r="K390" s="1" t="s">
        <v>24</v>
      </c>
      <c r="L390" s="1" t="s">
        <v>25</v>
      </c>
      <c r="M390" s="1" t="s">
        <v>24</v>
      </c>
      <c r="N390" s="1" t="s">
        <v>106</v>
      </c>
    </row>
    <row r="391" spans="1:14" x14ac:dyDescent="0.3">
      <c r="A391" s="1" t="s">
        <v>1218</v>
      </c>
      <c r="B391" s="1" t="s">
        <v>1219</v>
      </c>
      <c r="C391" s="1" t="s">
        <v>178</v>
      </c>
      <c r="D391" s="1" t="s">
        <v>1066</v>
      </c>
      <c r="E391" s="1" t="s">
        <v>236</v>
      </c>
      <c r="F391" s="1" t="s">
        <v>19</v>
      </c>
      <c r="G391" s="1" t="s">
        <v>20</v>
      </c>
      <c r="H391" s="1" t="s">
        <v>105</v>
      </c>
      <c r="I391" s="1" t="s">
        <v>34</v>
      </c>
      <c r="J391" s="1" t="s">
        <v>35</v>
      </c>
      <c r="K391" s="1" t="s">
        <v>36</v>
      </c>
      <c r="L391" s="1" t="s">
        <v>411</v>
      </c>
      <c r="M391" s="1" t="s">
        <v>36</v>
      </c>
      <c r="N391" s="1" t="s">
        <v>1220</v>
      </c>
    </row>
    <row r="392" spans="1:14" x14ac:dyDescent="0.3">
      <c r="A392" s="1" t="s">
        <v>1221</v>
      </c>
      <c r="B392" s="1" t="s">
        <v>1222</v>
      </c>
      <c r="C392" s="1" t="s">
        <v>47</v>
      </c>
      <c r="D392" s="1" t="s">
        <v>17</v>
      </c>
      <c r="E392" s="1" t="s">
        <v>42</v>
      </c>
      <c r="F392" s="1" t="s">
        <v>32</v>
      </c>
      <c r="G392" s="1" t="s">
        <v>20</v>
      </c>
      <c r="H392" s="1" t="s">
        <v>21</v>
      </c>
      <c r="I392" s="1" t="s">
        <v>34</v>
      </c>
      <c r="J392" s="1" t="s">
        <v>23</v>
      </c>
      <c r="K392" s="1" t="s">
        <v>36</v>
      </c>
      <c r="L392" s="1" t="s">
        <v>25</v>
      </c>
      <c r="M392" s="1" t="s">
        <v>24</v>
      </c>
      <c r="N392" s="1" t="s">
        <v>106</v>
      </c>
    </row>
    <row r="393" spans="1:14" x14ac:dyDescent="0.3">
      <c r="A393" s="1" t="s">
        <v>1223</v>
      </c>
      <c r="B393" s="1" t="s">
        <v>1224</v>
      </c>
      <c r="C393" s="1" t="s">
        <v>174</v>
      </c>
      <c r="D393" s="1" t="s">
        <v>17</v>
      </c>
      <c r="E393" s="1" t="s">
        <v>944</v>
      </c>
      <c r="F393" s="1" t="s">
        <v>32</v>
      </c>
      <c r="G393" s="1" t="s">
        <v>20</v>
      </c>
      <c r="H393" s="1" t="s">
        <v>21</v>
      </c>
      <c r="I393" s="1" t="s">
        <v>34</v>
      </c>
      <c r="J393" s="1" t="s">
        <v>23</v>
      </c>
      <c r="K393" s="1" t="s">
        <v>24</v>
      </c>
      <c r="L393" s="1" t="s">
        <v>25</v>
      </c>
      <c r="M393" s="1" t="s">
        <v>24</v>
      </c>
      <c r="N393" s="1" t="s">
        <v>106</v>
      </c>
    </row>
    <row r="394" spans="1:14" x14ac:dyDescent="0.3">
      <c r="A394" s="1" t="s">
        <v>1225</v>
      </c>
      <c r="B394" s="1" t="s">
        <v>899</v>
      </c>
      <c r="C394" s="1" t="s">
        <v>914</v>
      </c>
      <c r="D394" s="1" t="s">
        <v>590</v>
      </c>
      <c r="E394" s="1" t="s">
        <v>270</v>
      </c>
      <c r="F394" s="1" t="s">
        <v>32</v>
      </c>
      <c r="G394" s="1" t="s">
        <v>20</v>
      </c>
      <c r="H394" s="1" t="s">
        <v>33</v>
      </c>
      <c r="I394" s="1" t="s">
        <v>22</v>
      </c>
      <c r="J394" s="1" t="s">
        <v>35</v>
      </c>
      <c r="K394" s="1" t="s">
        <v>24</v>
      </c>
      <c r="L394" s="1" t="s">
        <v>72</v>
      </c>
      <c r="M394" s="1" t="s">
        <v>36</v>
      </c>
      <c r="N394" s="1" t="s">
        <v>900</v>
      </c>
    </row>
    <row r="395" spans="1:14" x14ac:dyDescent="0.3">
      <c r="A395" s="1" t="s">
        <v>1226</v>
      </c>
      <c r="B395" s="1" t="s">
        <v>1227</v>
      </c>
      <c r="C395" s="1" t="s">
        <v>174</v>
      </c>
      <c r="D395" s="1" t="s">
        <v>17</v>
      </c>
      <c r="E395" s="1" t="s">
        <v>944</v>
      </c>
      <c r="F395" s="1" t="s">
        <v>32</v>
      </c>
      <c r="G395" s="1" t="s">
        <v>20</v>
      </c>
      <c r="H395" s="1" t="s">
        <v>98</v>
      </c>
      <c r="I395" s="1" t="s">
        <v>34</v>
      </c>
      <c r="J395" s="1" t="s">
        <v>23</v>
      </c>
      <c r="K395" s="1" t="s">
        <v>24</v>
      </c>
      <c r="L395" s="1" t="s">
        <v>25</v>
      </c>
      <c r="M395" s="1" t="s">
        <v>24</v>
      </c>
      <c r="N395" s="1" t="s">
        <v>106</v>
      </c>
    </row>
    <row r="396" spans="1:14" x14ac:dyDescent="0.3">
      <c r="A396" s="1" t="s">
        <v>1228</v>
      </c>
      <c r="B396" s="1" t="s">
        <v>1229</v>
      </c>
      <c r="C396" s="1" t="s">
        <v>29</v>
      </c>
      <c r="D396" s="1" t="s">
        <v>84</v>
      </c>
      <c r="E396" s="1" t="s">
        <v>42</v>
      </c>
      <c r="F396" s="1" t="s">
        <v>32</v>
      </c>
      <c r="G396" s="1" t="s">
        <v>20</v>
      </c>
      <c r="H396" s="1" t="s">
        <v>243</v>
      </c>
      <c r="I396" s="1" t="s">
        <v>34</v>
      </c>
      <c r="J396" s="1" t="s">
        <v>23</v>
      </c>
      <c r="K396" s="1" t="s">
        <v>24</v>
      </c>
      <c r="L396" s="1" t="s">
        <v>25</v>
      </c>
      <c r="M396" s="1" t="s">
        <v>24</v>
      </c>
      <c r="N396" s="1" t="s">
        <v>1230</v>
      </c>
    </row>
    <row r="397" spans="1:14" x14ac:dyDescent="0.3">
      <c r="A397" s="1" t="s">
        <v>1231</v>
      </c>
      <c r="B397" s="1" t="s">
        <v>1232</v>
      </c>
      <c r="C397" s="1" t="s">
        <v>329</v>
      </c>
      <c r="D397" s="1" t="s">
        <v>1233</v>
      </c>
      <c r="E397" s="1" t="s">
        <v>455</v>
      </c>
      <c r="F397" s="1" t="s">
        <v>32</v>
      </c>
      <c r="G397" s="1" t="s">
        <v>20</v>
      </c>
      <c r="H397" s="1" t="s">
        <v>105</v>
      </c>
      <c r="I397" s="1" t="s">
        <v>34</v>
      </c>
      <c r="J397" s="1" t="s">
        <v>23</v>
      </c>
      <c r="K397" s="1" t="s">
        <v>36</v>
      </c>
      <c r="L397" s="1" t="s">
        <v>1234</v>
      </c>
      <c r="M397" s="1" t="s">
        <v>24</v>
      </c>
      <c r="N397" s="1" t="s">
        <v>1053</v>
      </c>
    </row>
    <row r="398" spans="1:14" x14ac:dyDescent="0.3">
      <c r="A398" s="1" t="s">
        <v>1235</v>
      </c>
      <c r="B398" s="1" t="s">
        <v>1236</v>
      </c>
      <c r="C398" s="1" t="s">
        <v>29</v>
      </c>
      <c r="D398" s="1" t="s">
        <v>316</v>
      </c>
      <c r="E398" s="1" t="s">
        <v>187</v>
      </c>
      <c r="F398" s="1" t="s">
        <v>32</v>
      </c>
      <c r="G398" s="1" t="s">
        <v>20</v>
      </c>
      <c r="H398" s="1" t="s">
        <v>105</v>
      </c>
      <c r="I398" s="1" t="s">
        <v>34</v>
      </c>
      <c r="J398" s="1" t="s">
        <v>23</v>
      </c>
      <c r="K398" s="1" t="s">
        <v>36</v>
      </c>
      <c r="L398" s="1" t="s">
        <v>411</v>
      </c>
      <c r="M398" s="1" t="s">
        <v>24</v>
      </c>
      <c r="N398" s="1" t="s">
        <v>1237</v>
      </c>
    </row>
    <row r="399" spans="1:14" x14ac:dyDescent="0.3">
      <c r="A399" s="1" t="s">
        <v>1238</v>
      </c>
      <c r="B399" s="1" t="s">
        <v>893</v>
      </c>
      <c r="C399" s="1" t="s">
        <v>174</v>
      </c>
      <c r="D399" s="1" t="s">
        <v>17</v>
      </c>
      <c r="E399" s="1" t="s">
        <v>944</v>
      </c>
      <c r="F399" s="1" t="s">
        <v>32</v>
      </c>
      <c r="G399" s="1" t="s">
        <v>20</v>
      </c>
      <c r="H399" s="1" t="s">
        <v>98</v>
      </c>
      <c r="I399" s="1" t="s">
        <v>34</v>
      </c>
      <c r="J399" s="1" t="s">
        <v>23</v>
      </c>
      <c r="K399" s="1" t="s">
        <v>24</v>
      </c>
      <c r="L399" s="1" t="s">
        <v>25</v>
      </c>
      <c r="M399" s="1" t="s">
        <v>24</v>
      </c>
      <c r="N399" s="1" t="s">
        <v>106</v>
      </c>
    </row>
    <row r="400" spans="1:14" x14ac:dyDescent="0.3">
      <c r="A400" s="1" t="s">
        <v>1239</v>
      </c>
      <c r="B400" s="1" t="s">
        <v>1240</v>
      </c>
      <c r="C400" s="1" t="s">
        <v>178</v>
      </c>
      <c r="D400" s="1" t="s">
        <v>47</v>
      </c>
      <c r="E400" s="1" t="s">
        <v>18</v>
      </c>
      <c r="F400" s="1" t="s">
        <v>19</v>
      </c>
      <c r="G400" s="1" t="s">
        <v>20</v>
      </c>
      <c r="H400" s="1" t="s">
        <v>105</v>
      </c>
      <c r="I400" s="1" t="s">
        <v>34</v>
      </c>
      <c r="J400" s="1" t="s">
        <v>35</v>
      </c>
      <c r="K400" s="1" t="s">
        <v>36</v>
      </c>
      <c r="L400" s="1" t="s">
        <v>411</v>
      </c>
      <c r="M400" s="1" t="s">
        <v>36</v>
      </c>
      <c r="N400" s="1" t="s">
        <v>1220</v>
      </c>
    </row>
    <row r="401" spans="1:14" x14ac:dyDescent="0.3">
      <c r="A401" s="1" t="s">
        <v>1241</v>
      </c>
      <c r="B401" s="1" t="s">
        <v>1242</v>
      </c>
      <c r="C401" s="1" t="s">
        <v>329</v>
      </c>
      <c r="D401" s="1" t="s">
        <v>103</v>
      </c>
      <c r="E401" s="1" t="s">
        <v>18</v>
      </c>
      <c r="F401" s="1" t="s">
        <v>32</v>
      </c>
      <c r="G401" s="1" t="s">
        <v>20</v>
      </c>
      <c r="H401" s="1" t="s">
        <v>105</v>
      </c>
      <c r="I401" s="1" t="s">
        <v>34</v>
      </c>
      <c r="J401" s="1" t="s">
        <v>23</v>
      </c>
      <c r="K401" s="1" t="s">
        <v>36</v>
      </c>
      <c r="L401" s="1" t="s">
        <v>411</v>
      </c>
      <c r="M401" s="1" t="s">
        <v>36</v>
      </c>
      <c r="N401" s="1" t="s">
        <v>1243</v>
      </c>
    </row>
  </sheetData>
  <autoFilter ref="A1:N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E1B13-6BC7-4346-A524-03A440DB9D1B}">
  <dimension ref="A1:A401"/>
  <sheetViews>
    <sheetView zoomScale="120" zoomScaleNormal="130" workbookViewId="0">
      <selection activeCell="D390" sqref="D390"/>
    </sheetView>
  </sheetViews>
  <sheetFormatPr defaultRowHeight="15.6" x14ac:dyDescent="0.3"/>
  <sheetData>
    <row r="1" spans="1:1" x14ac:dyDescent="0.3">
      <c r="A1" s="2" t="s">
        <v>3</v>
      </c>
    </row>
    <row r="2" spans="1:1" x14ac:dyDescent="0.3">
      <c r="A2" s="3">
        <v>199</v>
      </c>
    </row>
    <row r="3" spans="1:1" x14ac:dyDescent="0.3">
      <c r="A3" s="3">
        <v>130</v>
      </c>
    </row>
    <row r="4" spans="1:1" x14ac:dyDescent="0.3">
      <c r="A4" s="3">
        <v>249</v>
      </c>
    </row>
    <row r="5" spans="1:1" x14ac:dyDescent="0.3">
      <c r="A5" s="3">
        <v>120</v>
      </c>
    </row>
    <row r="6" spans="1:1" x14ac:dyDescent="0.3">
      <c r="A6" s="3">
        <v>124</v>
      </c>
    </row>
    <row r="7" spans="1:1" x14ac:dyDescent="0.3">
      <c r="A7" s="3">
        <v>120</v>
      </c>
    </row>
    <row r="8" spans="1:1" x14ac:dyDescent="0.3">
      <c r="A8" s="3">
        <v>125</v>
      </c>
    </row>
    <row r="9" spans="1:1" x14ac:dyDescent="0.3">
      <c r="A9" s="3">
        <v>135</v>
      </c>
    </row>
    <row r="10" spans="1:1" x14ac:dyDescent="0.3">
      <c r="A10" s="3">
        <v>121</v>
      </c>
    </row>
    <row r="11" spans="1:1" x14ac:dyDescent="0.3">
      <c r="A11" s="3">
        <v>125</v>
      </c>
    </row>
    <row r="12" spans="1:1" x14ac:dyDescent="0.3">
      <c r="A12" s="3">
        <v>130</v>
      </c>
    </row>
    <row r="13" spans="1:1" x14ac:dyDescent="0.3">
      <c r="A13" s="3">
        <v>128</v>
      </c>
    </row>
    <row r="14" spans="1:1" x14ac:dyDescent="0.3">
      <c r="A14" s="3">
        <v>130</v>
      </c>
    </row>
    <row r="15" spans="1:1" x14ac:dyDescent="0.3">
      <c r="A15" s="3">
        <v>279</v>
      </c>
    </row>
    <row r="16" spans="1:1" x14ac:dyDescent="0.3">
      <c r="A16" s="3">
        <v>140</v>
      </c>
    </row>
    <row r="17" spans="1:1" x14ac:dyDescent="0.3">
      <c r="A17" s="3">
        <v>126</v>
      </c>
    </row>
    <row r="18" spans="1:1" x14ac:dyDescent="0.3">
      <c r="A18" s="3">
        <v>120</v>
      </c>
    </row>
    <row r="19" spans="1:1" x14ac:dyDescent="0.3">
      <c r="A19" s="3">
        <v>179</v>
      </c>
    </row>
    <row r="20" spans="1:1" x14ac:dyDescent="0.3">
      <c r="A20" s="3">
        <v>186</v>
      </c>
    </row>
    <row r="21" spans="1:1" x14ac:dyDescent="0.3">
      <c r="A21" s="3">
        <v>185</v>
      </c>
    </row>
    <row r="22" spans="1:1" x14ac:dyDescent="0.3">
      <c r="A22" s="3">
        <v>160</v>
      </c>
    </row>
    <row r="23" spans="1:1" x14ac:dyDescent="0.3">
      <c r="A23" s="3">
        <v>119</v>
      </c>
    </row>
    <row r="24" spans="1:1" x14ac:dyDescent="0.3">
      <c r="A24" s="3">
        <v>139</v>
      </c>
    </row>
    <row r="25" spans="1:1" x14ac:dyDescent="0.3">
      <c r="A25" s="3">
        <v>118</v>
      </c>
    </row>
    <row r="26" spans="1:1" x14ac:dyDescent="0.3">
      <c r="A26" s="3">
        <v>149</v>
      </c>
    </row>
    <row r="27" spans="1:1" x14ac:dyDescent="0.3">
      <c r="A27" s="3">
        <v>118</v>
      </c>
    </row>
    <row r="28" spans="1:1" x14ac:dyDescent="0.3">
      <c r="A28" s="3">
        <v>123</v>
      </c>
    </row>
    <row r="29" spans="1:1" x14ac:dyDescent="0.3">
      <c r="A29" s="3">
        <v>126</v>
      </c>
    </row>
    <row r="30" spans="1:1" x14ac:dyDescent="0.3">
      <c r="A30" s="3">
        <v>499</v>
      </c>
    </row>
    <row r="31" spans="1:1" x14ac:dyDescent="0.3">
      <c r="A31" s="3">
        <v>121</v>
      </c>
    </row>
    <row r="32" spans="1:1" x14ac:dyDescent="0.3">
      <c r="A32" s="3">
        <v>115</v>
      </c>
    </row>
    <row r="33" spans="1:1" x14ac:dyDescent="0.3">
      <c r="A33" s="3">
        <v>140</v>
      </c>
    </row>
    <row r="34" spans="1:1" x14ac:dyDescent="0.3">
      <c r="A34" s="3">
        <v>140</v>
      </c>
    </row>
    <row r="35" spans="1:1" x14ac:dyDescent="0.3">
      <c r="A35" s="3">
        <v>140</v>
      </c>
    </row>
    <row r="36" spans="1:1" x14ac:dyDescent="0.3">
      <c r="A36" s="3">
        <v>123</v>
      </c>
    </row>
    <row r="37" spans="1:1" x14ac:dyDescent="0.3">
      <c r="A37" s="3">
        <v>127</v>
      </c>
    </row>
    <row r="38" spans="1:1" x14ac:dyDescent="0.3">
      <c r="A38" s="3">
        <v>180</v>
      </c>
    </row>
    <row r="39" spans="1:1" x14ac:dyDescent="0.3">
      <c r="A39" s="3">
        <v>130</v>
      </c>
    </row>
    <row r="40" spans="1:1" x14ac:dyDescent="0.3">
      <c r="A40" s="3">
        <v>258</v>
      </c>
    </row>
    <row r="41" spans="1:1" x14ac:dyDescent="0.3">
      <c r="A41" s="3">
        <v>125</v>
      </c>
    </row>
    <row r="42" spans="1:1" x14ac:dyDescent="0.3">
      <c r="A42" s="3">
        <v>125</v>
      </c>
    </row>
    <row r="43" spans="1:1" x14ac:dyDescent="0.3">
      <c r="A43" s="3">
        <v>258</v>
      </c>
    </row>
    <row r="44" spans="1:1" x14ac:dyDescent="0.3">
      <c r="A44" s="3">
        <v>180</v>
      </c>
    </row>
    <row r="45" spans="1:1" x14ac:dyDescent="0.3">
      <c r="A45" s="3">
        <v>127</v>
      </c>
    </row>
    <row r="46" spans="1:1" x14ac:dyDescent="0.3">
      <c r="A46" s="3">
        <v>125</v>
      </c>
    </row>
    <row r="47" spans="1:1" x14ac:dyDescent="0.3">
      <c r="A47" s="3">
        <v>130</v>
      </c>
    </row>
    <row r="48" spans="1:1" x14ac:dyDescent="0.3">
      <c r="A48" s="3">
        <v>189</v>
      </c>
    </row>
    <row r="49" spans="1:1" x14ac:dyDescent="0.3">
      <c r="A49" s="3">
        <v>132</v>
      </c>
    </row>
    <row r="50" spans="1:1" x14ac:dyDescent="0.3">
      <c r="A50" s="3">
        <v>123</v>
      </c>
    </row>
    <row r="51" spans="1:1" x14ac:dyDescent="0.3">
      <c r="A51" s="3">
        <v>165</v>
      </c>
    </row>
    <row r="52" spans="1:1" x14ac:dyDescent="0.3">
      <c r="A52" s="3">
        <v>256</v>
      </c>
    </row>
    <row r="53" spans="1:1" x14ac:dyDescent="0.3">
      <c r="A53" s="3">
        <v>196</v>
      </c>
    </row>
    <row r="54" spans="1:1" x14ac:dyDescent="0.3">
      <c r="A54" s="3">
        <v>125</v>
      </c>
    </row>
    <row r="55" spans="1:1" x14ac:dyDescent="0.3">
      <c r="A55" s="3">
        <v>126</v>
      </c>
    </row>
    <row r="56" spans="1:1" x14ac:dyDescent="0.3">
      <c r="A56" s="3">
        <v>381</v>
      </c>
    </row>
    <row r="57" spans="1:1" x14ac:dyDescent="0.3">
      <c r="A57" s="3">
        <v>114</v>
      </c>
    </row>
    <row r="58" spans="1:1" x14ac:dyDescent="0.3">
      <c r="A58" s="3">
        <v>120</v>
      </c>
    </row>
    <row r="59" spans="1:1" x14ac:dyDescent="0.3">
      <c r="A59" s="3">
        <v>399</v>
      </c>
    </row>
    <row r="60" spans="1:1" x14ac:dyDescent="0.3">
      <c r="A60" s="3">
        <v>299</v>
      </c>
    </row>
    <row r="61" spans="1:1" x14ac:dyDescent="0.3">
      <c r="A61" s="3">
        <v>139</v>
      </c>
    </row>
    <row r="62" spans="1:1" x14ac:dyDescent="0.3">
      <c r="A62" s="3">
        <v>226</v>
      </c>
    </row>
    <row r="63" spans="1:1" x14ac:dyDescent="0.3">
      <c r="A63" s="3">
        <v>125</v>
      </c>
    </row>
    <row r="64" spans="1:1" x14ac:dyDescent="0.3">
      <c r="A64" s="3">
        <v>118</v>
      </c>
    </row>
    <row r="65" spans="1:1" x14ac:dyDescent="0.3">
      <c r="A65" s="3">
        <v>118</v>
      </c>
    </row>
    <row r="66" spans="1:1" x14ac:dyDescent="0.3">
      <c r="A66" s="3">
        <v>149</v>
      </c>
    </row>
    <row r="67" spans="1:1" x14ac:dyDescent="0.3">
      <c r="A67" s="3">
        <v>132</v>
      </c>
    </row>
    <row r="68" spans="1:1" x14ac:dyDescent="0.3">
      <c r="A68" s="3">
        <v>119</v>
      </c>
    </row>
    <row r="69" spans="1:1" x14ac:dyDescent="0.3">
      <c r="A69" s="3">
        <v>149</v>
      </c>
    </row>
    <row r="70" spans="1:1" x14ac:dyDescent="0.3">
      <c r="A70" s="3">
        <v>120</v>
      </c>
    </row>
    <row r="71" spans="1:1" x14ac:dyDescent="0.3">
      <c r="A71" s="3">
        <v>160</v>
      </c>
    </row>
    <row r="72" spans="1:1" x14ac:dyDescent="0.3">
      <c r="A72" s="3">
        <v>135</v>
      </c>
    </row>
    <row r="73" spans="1:1" x14ac:dyDescent="0.3">
      <c r="A73" s="3">
        <v>127</v>
      </c>
    </row>
    <row r="74" spans="1:1" x14ac:dyDescent="0.3">
      <c r="A74" s="3">
        <v>122</v>
      </c>
    </row>
    <row r="75" spans="1:1" x14ac:dyDescent="0.3">
      <c r="A75" s="3">
        <v>115</v>
      </c>
    </row>
    <row r="76" spans="1:1" x14ac:dyDescent="0.3">
      <c r="A76" s="3">
        <v>118</v>
      </c>
    </row>
    <row r="77" spans="1:1" x14ac:dyDescent="0.3">
      <c r="A77" s="3">
        <v>122</v>
      </c>
    </row>
    <row r="78" spans="1:1" x14ac:dyDescent="0.3">
      <c r="A78" s="3">
        <v>125</v>
      </c>
    </row>
    <row r="79" spans="1:1" x14ac:dyDescent="0.3">
      <c r="A79" s="3">
        <v>120</v>
      </c>
    </row>
    <row r="80" spans="1:1" x14ac:dyDescent="0.3">
      <c r="A80" s="3">
        <v>117</v>
      </c>
    </row>
    <row r="81" spans="1:1" x14ac:dyDescent="0.3">
      <c r="A81" s="3">
        <v>134</v>
      </c>
    </row>
    <row r="82" spans="1:1" x14ac:dyDescent="0.3">
      <c r="A82" s="3">
        <v>135</v>
      </c>
    </row>
    <row r="83" spans="1:1" x14ac:dyDescent="0.3">
      <c r="A83" s="3">
        <v>146</v>
      </c>
    </row>
    <row r="84" spans="1:1" x14ac:dyDescent="0.3">
      <c r="A84" s="3">
        <v>135</v>
      </c>
    </row>
    <row r="85" spans="1:1" x14ac:dyDescent="0.3">
      <c r="A85" s="3">
        <v>119</v>
      </c>
    </row>
    <row r="86" spans="1:1" x14ac:dyDescent="0.3">
      <c r="A86" s="3">
        <v>112</v>
      </c>
    </row>
    <row r="87" spans="1:1" x14ac:dyDescent="0.3">
      <c r="A87" s="3">
        <v>146</v>
      </c>
    </row>
    <row r="88" spans="1:1" x14ac:dyDescent="0.3">
      <c r="A88" s="3">
        <v>399</v>
      </c>
    </row>
    <row r="89" spans="1:1" x14ac:dyDescent="0.3">
      <c r="A89" s="3">
        <v>191</v>
      </c>
    </row>
    <row r="90" spans="1:1" x14ac:dyDescent="0.3">
      <c r="A90" s="3">
        <v>124</v>
      </c>
    </row>
    <row r="91" spans="1:1" x14ac:dyDescent="0.3">
      <c r="A91" s="3">
        <v>161</v>
      </c>
    </row>
    <row r="92" spans="1:1" x14ac:dyDescent="0.3">
      <c r="A92" s="3">
        <v>125</v>
      </c>
    </row>
    <row r="93" spans="1:1" x14ac:dyDescent="0.3">
      <c r="A93" s="3">
        <v>121</v>
      </c>
    </row>
    <row r="94" spans="1:1" x14ac:dyDescent="0.3">
      <c r="A94" s="3">
        <v>189</v>
      </c>
    </row>
    <row r="95" spans="1:1" x14ac:dyDescent="0.3">
      <c r="A95" s="3">
        <v>220</v>
      </c>
    </row>
    <row r="96" spans="1:1" x14ac:dyDescent="0.3">
      <c r="A96" s="3">
        <v>297</v>
      </c>
    </row>
    <row r="97" spans="1:1" x14ac:dyDescent="0.3">
      <c r="A97" s="3">
        <v>133</v>
      </c>
    </row>
    <row r="98" spans="1:1" x14ac:dyDescent="0.3">
      <c r="A98" s="3">
        <v>174</v>
      </c>
    </row>
    <row r="99" spans="1:1" x14ac:dyDescent="0.3">
      <c r="A99" s="3">
        <v>139</v>
      </c>
    </row>
    <row r="100" spans="1:1" x14ac:dyDescent="0.3">
      <c r="A100" s="3">
        <v>175</v>
      </c>
    </row>
    <row r="101" spans="1:1" x14ac:dyDescent="0.3">
      <c r="A101" s="3">
        <v>125</v>
      </c>
    </row>
    <row r="102" spans="1:1" x14ac:dyDescent="0.3">
      <c r="A102" s="3">
        <v>124</v>
      </c>
    </row>
    <row r="103" spans="1:1" x14ac:dyDescent="0.3">
      <c r="A103" s="3">
        <v>120</v>
      </c>
    </row>
    <row r="104" spans="1:1" x14ac:dyDescent="0.3">
      <c r="A104" s="3">
        <v>185</v>
      </c>
    </row>
    <row r="105" spans="1:1" x14ac:dyDescent="0.3">
      <c r="A105" s="3">
        <v>126</v>
      </c>
    </row>
    <row r="106" spans="1:1" x14ac:dyDescent="0.3">
      <c r="A106" s="3">
        <v>167</v>
      </c>
    </row>
    <row r="107" spans="1:1" x14ac:dyDescent="0.3">
      <c r="A107" s="3">
        <v>135</v>
      </c>
    </row>
    <row r="108" spans="1:1" x14ac:dyDescent="0.3">
      <c r="A108" s="3">
        <v>299</v>
      </c>
    </row>
    <row r="109" spans="1:1" x14ac:dyDescent="0.3">
      <c r="A109" s="3">
        <v>125</v>
      </c>
    </row>
    <row r="110" spans="1:1" x14ac:dyDescent="0.3">
      <c r="A110" s="3">
        <v>145</v>
      </c>
    </row>
    <row r="111" spans="1:1" x14ac:dyDescent="0.3">
      <c r="A111" s="3">
        <v>152</v>
      </c>
    </row>
    <row r="112" spans="1:1" x14ac:dyDescent="0.3">
      <c r="A112" s="3">
        <v>130</v>
      </c>
    </row>
    <row r="113" spans="1:1" x14ac:dyDescent="0.3">
      <c r="A113" s="3">
        <v>130</v>
      </c>
    </row>
    <row r="114" spans="1:1" x14ac:dyDescent="0.3">
      <c r="A114" s="3">
        <v>135</v>
      </c>
    </row>
    <row r="115" spans="1:1" x14ac:dyDescent="0.3">
      <c r="A115" s="3">
        <v>146</v>
      </c>
    </row>
    <row r="116" spans="1:1" x14ac:dyDescent="0.3">
      <c r="A116" s="3">
        <v>199</v>
      </c>
    </row>
    <row r="117" spans="1:1" x14ac:dyDescent="0.3">
      <c r="A117" s="3">
        <v>169</v>
      </c>
    </row>
    <row r="118" spans="1:1" x14ac:dyDescent="0.3">
      <c r="A118" s="3">
        <v>128</v>
      </c>
    </row>
    <row r="119" spans="1:1" x14ac:dyDescent="0.3">
      <c r="A119" s="3">
        <v>169</v>
      </c>
    </row>
    <row r="120" spans="1:1" x14ac:dyDescent="0.3">
      <c r="A120" s="3">
        <v>120</v>
      </c>
    </row>
    <row r="121" spans="1:1" x14ac:dyDescent="0.3">
      <c r="A121" s="3">
        <v>199</v>
      </c>
    </row>
    <row r="122" spans="1:1" x14ac:dyDescent="0.3">
      <c r="A122" s="3">
        <v>123</v>
      </c>
    </row>
    <row r="123" spans="1:1" x14ac:dyDescent="0.3">
      <c r="A123" s="3">
        <v>127</v>
      </c>
    </row>
    <row r="124" spans="1:1" x14ac:dyDescent="0.3">
      <c r="A124" s="3">
        <v>140</v>
      </c>
    </row>
    <row r="125" spans="1:1" x14ac:dyDescent="0.3">
      <c r="A125" s="3">
        <v>130</v>
      </c>
    </row>
    <row r="126" spans="1:1" x14ac:dyDescent="0.3">
      <c r="A126" s="3">
        <v>483</v>
      </c>
    </row>
    <row r="127" spans="1:1" x14ac:dyDescent="0.3">
      <c r="A127" s="3">
        <v>180</v>
      </c>
    </row>
    <row r="128" spans="1:1" x14ac:dyDescent="0.3">
      <c r="A128" s="3">
        <v>250</v>
      </c>
    </row>
    <row r="129" spans="1:1" x14ac:dyDescent="0.3">
      <c r="A129" s="3">
        <v>136</v>
      </c>
    </row>
    <row r="130" spans="1:1" x14ac:dyDescent="0.3">
      <c r="A130" s="3">
        <v>170</v>
      </c>
    </row>
    <row r="131" spans="1:1" x14ac:dyDescent="0.3">
      <c r="A131" s="3">
        <v>125</v>
      </c>
    </row>
    <row r="132" spans="1:1" x14ac:dyDescent="0.3">
      <c r="A132" s="3">
        <v>115</v>
      </c>
    </row>
    <row r="133" spans="1:1" x14ac:dyDescent="0.3">
      <c r="A133" s="3">
        <v>127</v>
      </c>
    </row>
    <row r="134" spans="1:1" x14ac:dyDescent="0.3">
      <c r="A134" s="3">
        <v>130</v>
      </c>
    </row>
    <row r="135" spans="1:1" x14ac:dyDescent="0.3">
      <c r="A135" s="3">
        <v>129</v>
      </c>
    </row>
    <row r="136" spans="1:1" x14ac:dyDescent="0.3">
      <c r="A136" s="3">
        <v>140</v>
      </c>
    </row>
    <row r="137" spans="1:1" x14ac:dyDescent="0.3">
      <c r="A137" s="3">
        <v>165</v>
      </c>
    </row>
    <row r="138" spans="1:1" x14ac:dyDescent="0.3">
      <c r="A138" s="3">
        <v>196</v>
      </c>
    </row>
    <row r="139" spans="1:1" x14ac:dyDescent="0.3">
      <c r="A139" s="3">
        <v>120</v>
      </c>
    </row>
    <row r="140" spans="1:1" x14ac:dyDescent="0.3">
      <c r="A140" s="3">
        <v>138</v>
      </c>
    </row>
    <row r="141" spans="1:1" x14ac:dyDescent="0.3">
      <c r="A141" s="3">
        <v>160</v>
      </c>
    </row>
    <row r="142" spans="1:1" x14ac:dyDescent="0.3">
      <c r="A142" s="3">
        <v>125</v>
      </c>
    </row>
    <row r="143" spans="1:1" x14ac:dyDescent="0.3">
      <c r="A143" s="3">
        <v>125</v>
      </c>
    </row>
    <row r="144" spans="1:1" x14ac:dyDescent="0.3">
      <c r="A144" s="3">
        <v>122</v>
      </c>
    </row>
    <row r="145" spans="1:1" x14ac:dyDescent="0.3">
      <c r="A145" s="3">
        <v>173</v>
      </c>
    </row>
    <row r="146" spans="1:1" x14ac:dyDescent="0.3">
      <c r="A146" s="3">
        <v>123</v>
      </c>
    </row>
    <row r="147" spans="1:1" x14ac:dyDescent="0.3">
      <c r="A147" s="3">
        <v>121</v>
      </c>
    </row>
    <row r="148" spans="1:1" x14ac:dyDescent="0.3">
      <c r="A148" s="3">
        <v>294</v>
      </c>
    </row>
    <row r="149" spans="1:1" x14ac:dyDescent="0.3">
      <c r="A149" s="3">
        <v>160</v>
      </c>
    </row>
    <row r="150" spans="1:1" x14ac:dyDescent="0.3">
      <c r="A150" s="3">
        <v>135</v>
      </c>
    </row>
    <row r="151" spans="1:1" x14ac:dyDescent="0.3">
      <c r="A151" s="3">
        <v>183</v>
      </c>
    </row>
    <row r="152" spans="1:1" x14ac:dyDescent="0.3">
      <c r="A152" s="3">
        <v>182</v>
      </c>
    </row>
    <row r="153" spans="1:1" x14ac:dyDescent="0.3">
      <c r="A153" s="3">
        <v>126</v>
      </c>
    </row>
    <row r="154" spans="1:1" x14ac:dyDescent="0.3">
      <c r="A154" s="3">
        <v>123</v>
      </c>
    </row>
    <row r="155" spans="1:1" x14ac:dyDescent="0.3">
      <c r="A155" s="3">
        <v>127</v>
      </c>
    </row>
    <row r="156" spans="1:1" x14ac:dyDescent="0.3">
      <c r="A156" s="3">
        <v>155</v>
      </c>
    </row>
    <row r="157" spans="1:1" x14ac:dyDescent="0.3">
      <c r="A157" s="3">
        <v>119</v>
      </c>
    </row>
    <row r="158" spans="1:1" x14ac:dyDescent="0.3">
      <c r="A158" s="3">
        <v>158</v>
      </c>
    </row>
    <row r="159" spans="1:1" x14ac:dyDescent="0.3">
      <c r="A159" s="3">
        <v>119</v>
      </c>
    </row>
    <row r="160" spans="1:1" x14ac:dyDescent="0.3">
      <c r="A160" s="3">
        <v>131</v>
      </c>
    </row>
    <row r="161" spans="1:1" x14ac:dyDescent="0.3">
      <c r="A161" s="3">
        <v>119</v>
      </c>
    </row>
    <row r="162" spans="1:1" x14ac:dyDescent="0.3">
      <c r="A162" s="3">
        <v>126</v>
      </c>
    </row>
    <row r="163" spans="1:1" x14ac:dyDescent="0.3">
      <c r="A163" s="3">
        <v>126</v>
      </c>
    </row>
    <row r="164" spans="1:1" x14ac:dyDescent="0.3">
      <c r="A164" s="3">
        <v>123</v>
      </c>
    </row>
    <row r="165" spans="1:1" x14ac:dyDescent="0.3">
      <c r="A165" s="3">
        <v>126</v>
      </c>
    </row>
    <row r="166" spans="1:1" x14ac:dyDescent="0.3">
      <c r="A166" s="3">
        <v>123</v>
      </c>
    </row>
    <row r="167" spans="1:1" x14ac:dyDescent="0.3">
      <c r="A167" s="3">
        <v>161</v>
      </c>
    </row>
    <row r="168" spans="1:1" x14ac:dyDescent="0.3">
      <c r="A168" s="3">
        <v>299</v>
      </c>
    </row>
    <row r="169" spans="1:1" x14ac:dyDescent="0.3">
      <c r="A169" s="3">
        <v>137</v>
      </c>
    </row>
    <row r="170" spans="1:1" x14ac:dyDescent="0.3">
      <c r="A170" s="3">
        <v>122</v>
      </c>
    </row>
    <row r="171" spans="1:1" x14ac:dyDescent="0.3">
      <c r="A171" s="3">
        <v>125</v>
      </c>
    </row>
    <row r="172" spans="1:1" x14ac:dyDescent="0.3">
      <c r="A172" s="3">
        <v>129</v>
      </c>
    </row>
    <row r="173" spans="1:1" x14ac:dyDescent="0.3">
      <c r="A173" s="3">
        <v>119</v>
      </c>
    </row>
    <row r="174" spans="1:1" x14ac:dyDescent="0.3">
      <c r="A174" s="3">
        <v>390</v>
      </c>
    </row>
    <row r="175" spans="1:1" x14ac:dyDescent="0.3">
      <c r="A175" s="3">
        <v>118</v>
      </c>
    </row>
    <row r="176" spans="1:1" x14ac:dyDescent="0.3">
      <c r="A176" s="3">
        <v>210</v>
      </c>
    </row>
    <row r="177" spans="1:1" x14ac:dyDescent="0.3">
      <c r="A177" s="3">
        <v>122</v>
      </c>
    </row>
    <row r="178" spans="1:1" x14ac:dyDescent="0.3">
      <c r="A178" s="3">
        <v>142</v>
      </c>
    </row>
    <row r="179" spans="1:1" x14ac:dyDescent="0.3">
      <c r="A179" s="3">
        <v>145</v>
      </c>
    </row>
    <row r="180" spans="1:1" x14ac:dyDescent="0.3">
      <c r="A180" s="3">
        <v>140</v>
      </c>
    </row>
    <row r="181" spans="1:1" x14ac:dyDescent="0.3">
      <c r="A181" s="3">
        <v>129</v>
      </c>
    </row>
    <row r="182" spans="1:1" x14ac:dyDescent="0.3">
      <c r="A182" s="3">
        <v>126</v>
      </c>
    </row>
    <row r="183" spans="1:1" x14ac:dyDescent="0.3">
      <c r="A183" s="3">
        <v>126</v>
      </c>
    </row>
    <row r="184" spans="1:1" x14ac:dyDescent="0.3">
      <c r="A184" s="3">
        <v>133</v>
      </c>
    </row>
    <row r="185" spans="1:1" x14ac:dyDescent="0.3">
      <c r="A185" s="3">
        <v>125</v>
      </c>
    </row>
    <row r="186" spans="1:1" x14ac:dyDescent="0.3">
      <c r="A186" s="3">
        <v>174</v>
      </c>
    </row>
    <row r="187" spans="1:1" x14ac:dyDescent="0.3">
      <c r="A187" s="3">
        <v>135</v>
      </c>
    </row>
    <row r="188" spans="1:1" x14ac:dyDescent="0.3">
      <c r="A188" s="3">
        <v>599</v>
      </c>
    </row>
    <row r="189" spans="1:1" x14ac:dyDescent="0.3">
      <c r="A189" s="3">
        <v>145</v>
      </c>
    </row>
    <row r="190" spans="1:1" x14ac:dyDescent="0.3">
      <c r="A190" s="3">
        <v>139</v>
      </c>
    </row>
    <row r="191" spans="1:1" x14ac:dyDescent="0.3">
      <c r="A191" s="3">
        <v>125</v>
      </c>
    </row>
    <row r="192" spans="1:1" x14ac:dyDescent="0.3">
      <c r="A192" s="3">
        <v>127</v>
      </c>
    </row>
    <row r="193" spans="1:1" x14ac:dyDescent="0.3">
      <c r="A193" s="3">
        <v>275</v>
      </c>
    </row>
    <row r="194" spans="1:1" x14ac:dyDescent="0.3">
      <c r="A194" s="3">
        <v>126</v>
      </c>
    </row>
    <row r="195" spans="1:1" x14ac:dyDescent="0.3">
      <c r="A195" s="3">
        <v>128</v>
      </c>
    </row>
    <row r="196" spans="1:1" x14ac:dyDescent="0.3">
      <c r="A196" s="3">
        <v>129</v>
      </c>
    </row>
    <row r="197" spans="1:1" x14ac:dyDescent="0.3">
      <c r="A197" s="3">
        <v>127</v>
      </c>
    </row>
    <row r="198" spans="1:1" x14ac:dyDescent="0.3">
      <c r="A198" s="3">
        <v>128</v>
      </c>
    </row>
    <row r="199" spans="1:1" x14ac:dyDescent="0.3">
      <c r="A199" s="3">
        <v>163</v>
      </c>
    </row>
    <row r="200" spans="1:1" x14ac:dyDescent="0.3">
      <c r="A200" s="3">
        <v>132</v>
      </c>
    </row>
    <row r="201" spans="1:1" x14ac:dyDescent="0.3">
      <c r="A201" s="3">
        <v>140</v>
      </c>
    </row>
    <row r="202" spans="1:1" x14ac:dyDescent="0.3">
      <c r="A202" s="3">
        <v>130</v>
      </c>
    </row>
    <row r="203" spans="1:1" x14ac:dyDescent="0.3">
      <c r="A203" s="3">
        <v>129</v>
      </c>
    </row>
    <row r="204" spans="1:1" x14ac:dyDescent="0.3">
      <c r="A204" s="3">
        <v>155</v>
      </c>
    </row>
    <row r="205" spans="1:1" x14ac:dyDescent="0.3">
      <c r="A205" s="3">
        <v>239</v>
      </c>
    </row>
    <row r="206" spans="1:1" x14ac:dyDescent="0.3">
      <c r="A206" s="3">
        <v>129</v>
      </c>
    </row>
    <row r="207" spans="1:1" x14ac:dyDescent="0.3">
      <c r="A207" s="3">
        <v>128</v>
      </c>
    </row>
    <row r="208" spans="1:1" x14ac:dyDescent="0.3">
      <c r="A208" s="3">
        <v>128</v>
      </c>
    </row>
    <row r="209" spans="1:1" x14ac:dyDescent="0.3">
      <c r="A209" s="3">
        <v>126</v>
      </c>
    </row>
    <row r="210" spans="1:1" x14ac:dyDescent="0.3">
      <c r="A210" s="3">
        <v>139</v>
      </c>
    </row>
    <row r="211" spans="1:1" x14ac:dyDescent="0.3">
      <c r="A211" s="3">
        <v>160</v>
      </c>
    </row>
    <row r="212" spans="1:1" x14ac:dyDescent="0.3">
      <c r="A212" s="3">
        <v>135</v>
      </c>
    </row>
    <row r="213" spans="1:1" x14ac:dyDescent="0.3">
      <c r="A213" s="3">
        <v>124</v>
      </c>
    </row>
    <row r="214" spans="1:1" x14ac:dyDescent="0.3">
      <c r="A214" s="3">
        <v>127</v>
      </c>
    </row>
    <row r="215" spans="1:1" x14ac:dyDescent="0.3">
      <c r="A215" s="3">
        <v>132</v>
      </c>
    </row>
    <row r="216" spans="1:1" x14ac:dyDescent="0.3">
      <c r="A216" s="3">
        <v>127</v>
      </c>
    </row>
    <row r="217" spans="1:1" x14ac:dyDescent="0.3">
      <c r="A217" s="3">
        <v>140</v>
      </c>
    </row>
    <row r="218" spans="1:1" x14ac:dyDescent="0.3">
      <c r="A218" s="3">
        <v>120</v>
      </c>
    </row>
    <row r="219" spans="1:1" x14ac:dyDescent="0.3">
      <c r="A219" s="3">
        <v>122</v>
      </c>
    </row>
    <row r="220" spans="1:1" x14ac:dyDescent="0.3">
      <c r="A220" s="3">
        <v>153</v>
      </c>
    </row>
    <row r="221" spans="1:1" x14ac:dyDescent="0.3">
      <c r="A221" s="3">
        <v>125</v>
      </c>
    </row>
    <row r="222" spans="1:1" x14ac:dyDescent="0.3">
      <c r="A222" s="3">
        <v>130</v>
      </c>
    </row>
    <row r="223" spans="1:1" x14ac:dyDescent="0.3">
      <c r="A223" s="3">
        <v>249</v>
      </c>
    </row>
    <row r="224" spans="1:1" x14ac:dyDescent="0.3">
      <c r="A224" s="3">
        <v>125</v>
      </c>
    </row>
    <row r="225" spans="1:1" x14ac:dyDescent="0.3">
      <c r="A225" s="3">
        <v>128</v>
      </c>
    </row>
    <row r="226" spans="1:1" x14ac:dyDescent="0.3">
      <c r="A226" s="3">
        <v>147</v>
      </c>
    </row>
    <row r="227" spans="1:1" x14ac:dyDescent="0.3">
      <c r="A227" s="3">
        <v>219</v>
      </c>
    </row>
    <row r="228" spans="1:1" x14ac:dyDescent="0.3">
      <c r="A228" s="3">
        <v>125</v>
      </c>
    </row>
    <row r="229" spans="1:1" x14ac:dyDescent="0.3">
      <c r="A229" s="3">
        <v>118</v>
      </c>
    </row>
    <row r="230" spans="1:1" x14ac:dyDescent="0.3">
      <c r="A230" s="3">
        <v>127</v>
      </c>
    </row>
    <row r="231" spans="1:1" x14ac:dyDescent="0.3">
      <c r="A231" s="3">
        <v>135</v>
      </c>
    </row>
    <row r="232" spans="1:1" x14ac:dyDescent="0.3">
      <c r="A232" s="3">
        <v>126</v>
      </c>
    </row>
    <row r="233" spans="1:1" x14ac:dyDescent="0.3">
      <c r="A233" s="3">
        <v>125</v>
      </c>
    </row>
    <row r="234" spans="1:1" x14ac:dyDescent="0.3">
      <c r="A234" s="3">
        <v>122</v>
      </c>
    </row>
    <row r="235" spans="1:1" x14ac:dyDescent="0.3">
      <c r="A235" s="3">
        <v>144</v>
      </c>
    </row>
    <row r="236" spans="1:1" x14ac:dyDescent="0.3">
      <c r="A236" s="3">
        <v>135</v>
      </c>
    </row>
    <row r="237" spans="1:1" x14ac:dyDescent="0.3">
      <c r="A237" s="3">
        <v>122</v>
      </c>
    </row>
    <row r="238" spans="1:1" x14ac:dyDescent="0.3">
      <c r="A238" s="3">
        <v>135</v>
      </c>
    </row>
    <row r="239" spans="1:1" x14ac:dyDescent="0.3">
      <c r="A239" s="3">
        <v>749</v>
      </c>
    </row>
    <row r="240" spans="1:1" x14ac:dyDescent="0.3">
      <c r="A240" s="3">
        <v>139</v>
      </c>
    </row>
    <row r="241" spans="1:1" x14ac:dyDescent="0.3">
      <c r="A241" s="3">
        <v>127</v>
      </c>
    </row>
    <row r="242" spans="1:1" x14ac:dyDescent="0.3">
      <c r="A242" s="3">
        <v>199</v>
      </c>
    </row>
    <row r="243" spans="1:1" x14ac:dyDescent="0.3">
      <c r="A243" s="3">
        <v>122</v>
      </c>
    </row>
    <row r="244" spans="1:1" x14ac:dyDescent="0.3">
      <c r="A244" s="3">
        <v>157</v>
      </c>
    </row>
    <row r="245" spans="1:1" x14ac:dyDescent="0.3">
      <c r="A245" s="3">
        <v>113</v>
      </c>
    </row>
    <row r="246" spans="1:1" x14ac:dyDescent="0.3">
      <c r="A246" s="3">
        <v>125</v>
      </c>
    </row>
    <row r="247" spans="1:1" x14ac:dyDescent="0.3">
      <c r="A247" s="3">
        <v>189</v>
      </c>
    </row>
    <row r="248" spans="1:1" x14ac:dyDescent="0.3">
      <c r="A248" s="3">
        <v>169</v>
      </c>
    </row>
    <row r="249" spans="1:1" x14ac:dyDescent="0.3">
      <c r="A249" s="3">
        <v>185</v>
      </c>
    </row>
    <row r="250" spans="1:1" x14ac:dyDescent="0.3">
      <c r="A250" s="3">
        <v>189</v>
      </c>
    </row>
    <row r="251" spans="1:1" x14ac:dyDescent="0.3">
      <c r="A251" s="3">
        <v>115</v>
      </c>
    </row>
    <row r="252" spans="1:1" x14ac:dyDescent="0.3">
      <c r="A252" s="3">
        <v>134</v>
      </c>
    </row>
    <row r="253" spans="1:1" x14ac:dyDescent="0.3">
      <c r="A253" s="3">
        <v>149</v>
      </c>
    </row>
    <row r="254" spans="1:1" x14ac:dyDescent="0.3">
      <c r="A254" s="3">
        <v>270</v>
      </c>
    </row>
    <row r="255" spans="1:1" x14ac:dyDescent="0.3">
      <c r="A255" s="3">
        <v>125</v>
      </c>
    </row>
    <row r="256" spans="1:1" x14ac:dyDescent="0.3">
      <c r="A256" s="3">
        <v>143</v>
      </c>
    </row>
    <row r="257" spans="1:1" x14ac:dyDescent="0.3">
      <c r="A257" s="3">
        <v>159</v>
      </c>
    </row>
    <row r="258" spans="1:1" x14ac:dyDescent="0.3">
      <c r="A258" s="3">
        <v>299</v>
      </c>
    </row>
    <row r="259" spans="1:1" x14ac:dyDescent="0.3">
      <c r="A259" s="3">
        <v>135</v>
      </c>
    </row>
    <row r="260" spans="1:1" x14ac:dyDescent="0.3">
      <c r="A260" s="3">
        <v>137</v>
      </c>
    </row>
    <row r="261" spans="1:1" x14ac:dyDescent="0.3">
      <c r="A261" s="3">
        <v>299</v>
      </c>
    </row>
    <row r="262" spans="1:1" x14ac:dyDescent="0.3">
      <c r="A262" s="3">
        <v>129</v>
      </c>
    </row>
    <row r="263" spans="1:1" x14ac:dyDescent="0.3">
      <c r="A263" s="3">
        <v>125</v>
      </c>
    </row>
    <row r="264" spans="1:1" x14ac:dyDescent="0.3">
      <c r="A264" s="3">
        <v>275</v>
      </c>
    </row>
    <row r="265" spans="1:1" x14ac:dyDescent="0.3">
      <c r="A265" s="3">
        <v>145</v>
      </c>
    </row>
    <row r="266" spans="1:1" x14ac:dyDescent="0.3">
      <c r="A266" s="3">
        <v>119</v>
      </c>
    </row>
    <row r="267" spans="1:1" x14ac:dyDescent="0.3">
      <c r="A267" s="3">
        <v>145</v>
      </c>
    </row>
    <row r="268" spans="1:1" x14ac:dyDescent="0.3">
      <c r="A268" s="3">
        <v>126</v>
      </c>
    </row>
    <row r="269" spans="1:1" x14ac:dyDescent="0.3">
      <c r="A269" s="3">
        <v>124</v>
      </c>
    </row>
    <row r="270" spans="1:1" x14ac:dyDescent="0.3">
      <c r="A270" s="3">
        <v>298</v>
      </c>
    </row>
    <row r="271" spans="1:1" x14ac:dyDescent="0.3">
      <c r="A271" s="3">
        <v>122</v>
      </c>
    </row>
    <row r="272" spans="1:1" x14ac:dyDescent="0.3">
      <c r="A272" s="3">
        <v>141</v>
      </c>
    </row>
    <row r="273" spans="1:1" x14ac:dyDescent="0.3">
      <c r="A273" s="3">
        <v>289</v>
      </c>
    </row>
    <row r="274" spans="1:1" x14ac:dyDescent="0.3">
      <c r="A274" s="3">
        <v>135</v>
      </c>
    </row>
    <row r="275" spans="1:1" x14ac:dyDescent="0.3">
      <c r="A275" s="3">
        <v>125</v>
      </c>
    </row>
    <row r="276" spans="1:1" x14ac:dyDescent="0.3">
      <c r="A276" s="3">
        <v>189</v>
      </c>
    </row>
    <row r="277" spans="1:1" x14ac:dyDescent="0.3">
      <c r="A277" s="3">
        <v>271</v>
      </c>
    </row>
    <row r="278" spans="1:1" x14ac:dyDescent="0.3">
      <c r="A278" s="3">
        <v>127</v>
      </c>
    </row>
    <row r="279" spans="1:1" x14ac:dyDescent="0.3">
      <c r="A279" s="3">
        <v>126</v>
      </c>
    </row>
    <row r="280" spans="1:1" x14ac:dyDescent="0.3">
      <c r="A280" s="3">
        <v>130</v>
      </c>
    </row>
    <row r="281" spans="1:1" x14ac:dyDescent="0.3">
      <c r="A281" s="3">
        <v>130</v>
      </c>
    </row>
    <row r="282" spans="1:1" x14ac:dyDescent="0.3">
      <c r="A282" s="3">
        <v>126</v>
      </c>
    </row>
    <row r="283" spans="1:1" x14ac:dyDescent="0.3">
      <c r="A283" s="3">
        <v>166</v>
      </c>
    </row>
    <row r="284" spans="1:1" x14ac:dyDescent="0.3">
      <c r="A284" s="3">
        <v>199</v>
      </c>
    </row>
    <row r="285" spans="1:1" x14ac:dyDescent="0.3">
      <c r="A285" s="3">
        <v>150</v>
      </c>
    </row>
    <row r="286" spans="1:1" x14ac:dyDescent="0.3">
      <c r="A286" s="3">
        <v>127</v>
      </c>
    </row>
    <row r="287" spans="1:1" x14ac:dyDescent="0.3">
      <c r="A287" s="3">
        <v>178</v>
      </c>
    </row>
    <row r="288" spans="1:1" x14ac:dyDescent="0.3">
      <c r="A288" s="3">
        <v>135</v>
      </c>
    </row>
    <row r="289" spans="1:1" x14ac:dyDescent="0.3">
      <c r="A289" s="3">
        <v>145</v>
      </c>
    </row>
    <row r="290" spans="1:1" x14ac:dyDescent="0.3">
      <c r="A290" s="3">
        <v>121</v>
      </c>
    </row>
    <row r="291" spans="1:1" x14ac:dyDescent="0.3">
      <c r="A291" s="3">
        <v>134</v>
      </c>
    </row>
    <row r="292" spans="1:1" x14ac:dyDescent="0.3">
      <c r="A292" s="3">
        <v>134</v>
      </c>
    </row>
    <row r="293" spans="1:1" x14ac:dyDescent="0.3">
      <c r="A293" s="3">
        <v>150</v>
      </c>
    </row>
    <row r="294" spans="1:1" x14ac:dyDescent="0.3">
      <c r="A294" s="3">
        <v>237</v>
      </c>
    </row>
    <row r="295" spans="1:1" x14ac:dyDescent="0.3">
      <c r="A295" s="3">
        <v>126</v>
      </c>
    </row>
    <row r="296" spans="1:1" x14ac:dyDescent="0.3">
      <c r="A296" s="3">
        <v>139</v>
      </c>
    </row>
    <row r="297" spans="1:1" x14ac:dyDescent="0.3">
      <c r="A297" s="3">
        <v>171</v>
      </c>
    </row>
    <row r="298" spans="1:1" x14ac:dyDescent="0.3">
      <c r="A298" s="3">
        <v>113</v>
      </c>
    </row>
    <row r="299" spans="1:1" x14ac:dyDescent="0.3">
      <c r="A299" s="3">
        <v>165</v>
      </c>
    </row>
    <row r="300" spans="1:1" x14ac:dyDescent="0.3">
      <c r="A300" s="3">
        <v>158</v>
      </c>
    </row>
    <row r="301" spans="1:1" x14ac:dyDescent="0.3">
      <c r="A301" s="3">
        <v>120</v>
      </c>
    </row>
    <row r="302" spans="1:1" x14ac:dyDescent="0.3">
      <c r="A302" s="3">
        <v>136</v>
      </c>
    </row>
    <row r="303" spans="1:1" x14ac:dyDescent="0.3">
      <c r="A303" s="3">
        <v>155</v>
      </c>
    </row>
    <row r="304" spans="1:1" x14ac:dyDescent="0.3">
      <c r="A304" s="3">
        <v>126</v>
      </c>
    </row>
    <row r="305" spans="1:1" x14ac:dyDescent="0.3">
      <c r="A305" s="3">
        <v>135</v>
      </c>
    </row>
    <row r="306" spans="1:1" x14ac:dyDescent="0.3">
      <c r="A306" s="3">
        <v>127</v>
      </c>
    </row>
    <row r="307" spans="1:1" x14ac:dyDescent="0.3">
      <c r="A307" s="3">
        <v>127</v>
      </c>
    </row>
    <row r="308" spans="1:1" x14ac:dyDescent="0.3">
      <c r="A308" s="3">
        <v>125</v>
      </c>
    </row>
    <row r="309" spans="1:1" x14ac:dyDescent="0.3">
      <c r="A309" s="3">
        <v>163</v>
      </c>
    </row>
    <row r="310" spans="1:1" x14ac:dyDescent="0.3">
      <c r="A310" s="3">
        <v>128</v>
      </c>
    </row>
    <row r="311" spans="1:1" x14ac:dyDescent="0.3">
      <c r="A311" s="3">
        <v>139</v>
      </c>
    </row>
    <row r="312" spans="1:1" x14ac:dyDescent="0.3">
      <c r="A312" s="3">
        <v>155</v>
      </c>
    </row>
    <row r="313" spans="1:1" x14ac:dyDescent="0.3">
      <c r="A313" s="3">
        <v>288</v>
      </c>
    </row>
    <row r="314" spans="1:1" x14ac:dyDescent="0.3">
      <c r="A314" s="3">
        <v>180</v>
      </c>
    </row>
    <row r="315" spans="1:1" x14ac:dyDescent="0.3">
      <c r="A315" s="3">
        <v>155</v>
      </c>
    </row>
    <row r="316" spans="1:1" x14ac:dyDescent="0.3">
      <c r="A316" s="3">
        <v>143</v>
      </c>
    </row>
    <row r="317" spans="1:1" x14ac:dyDescent="0.3">
      <c r="A317" s="3">
        <v>135</v>
      </c>
    </row>
    <row r="318" spans="1:1" x14ac:dyDescent="0.3">
      <c r="A318" s="3">
        <v>129</v>
      </c>
    </row>
    <row r="319" spans="1:1" x14ac:dyDescent="0.3">
      <c r="A319" s="3">
        <v>199</v>
      </c>
    </row>
    <row r="320" spans="1:1" x14ac:dyDescent="0.3">
      <c r="A320" s="3">
        <v>120</v>
      </c>
    </row>
    <row r="321" spans="1:1" x14ac:dyDescent="0.3">
      <c r="A321" s="3">
        <v>449</v>
      </c>
    </row>
    <row r="322" spans="1:1" x14ac:dyDescent="0.3">
      <c r="A322" s="3">
        <v>139</v>
      </c>
    </row>
    <row r="323" spans="1:1" x14ac:dyDescent="0.3">
      <c r="A323" s="3">
        <v>449</v>
      </c>
    </row>
    <row r="324" spans="1:1" x14ac:dyDescent="0.3">
      <c r="A324" s="3">
        <v>113</v>
      </c>
    </row>
    <row r="325" spans="1:1" x14ac:dyDescent="0.3">
      <c r="A325" s="3">
        <v>126</v>
      </c>
    </row>
    <row r="326" spans="1:1" x14ac:dyDescent="0.3">
      <c r="A326" s="3">
        <v>148</v>
      </c>
    </row>
    <row r="327" spans="1:1" x14ac:dyDescent="0.3">
      <c r="A327" s="3">
        <v>134</v>
      </c>
    </row>
    <row r="328" spans="1:1" x14ac:dyDescent="0.3">
      <c r="A328" s="3">
        <v>296</v>
      </c>
    </row>
    <row r="329" spans="1:1" x14ac:dyDescent="0.3">
      <c r="A329" s="3">
        <v>126</v>
      </c>
    </row>
    <row r="330" spans="1:1" x14ac:dyDescent="0.3">
      <c r="A330" s="3">
        <v>452</v>
      </c>
    </row>
    <row r="331" spans="1:1" x14ac:dyDescent="0.3">
      <c r="A331" s="3">
        <v>130</v>
      </c>
    </row>
    <row r="332" spans="1:1" x14ac:dyDescent="0.3">
      <c r="A332" s="3">
        <v>122</v>
      </c>
    </row>
    <row r="333" spans="1:1" x14ac:dyDescent="0.3">
      <c r="A333" s="3">
        <v>135</v>
      </c>
    </row>
    <row r="334" spans="1:1" x14ac:dyDescent="0.3">
      <c r="A334" s="3">
        <v>125</v>
      </c>
    </row>
    <row r="335" spans="1:1" x14ac:dyDescent="0.3">
      <c r="A335" s="3">
        <v>120</v>
      </c>
    </row>
    <row r="336" spans="1:1" x14ac:dyDescent="0.3">
      <c r="A336" s="3">
        <v>199</v>
      </c>
    </row>
    <row r="337" spans="1:1" x14ac:dyDescent="0.3">
      <c r="A337" s="3">
        <v>120</v>
      </c>
    </row>
    <row r="338" spans="1:1" x14ac:dyDescent="0.3">
      <c r="A338" s="3">
        <v>121</v>
      </c>
    </row>
    <row r="339" spans="1:1" x14ac:dyDescent="0.3">
      <c r="A339" s="3">
        <v>135</v>
      </c>
    </row>
    <row r="340" spans="1:1" x14ac:dyDescent="0.3">
      <c r="A340" s="3">
        <v>149</v>
      </c>
    </row>
    <row r="341" spans="1:1" x14ac:dyDescent="0.3">
      <c r="A341" s="3">
        <v>118</v>
      </c>
    </row>
    <row r="342" spans="1:1" x14ac:dyDescent="0.3">
      <c r="A342" s="3">
        <v>122</v>
      </c>
    </row>
    <row r="343" spans="1:1" x14ac:dyDescent="0.3">
      <c r="A343" s="3">
        <v>115</v>
      </c>
    </row>
    <row r="344" spans="1:1" x14ac:dyDescent="0.3">
      <c r="A344" s="3">
        <v>109</v>
      </c>
    </row>
    <row r="345" spans="1:1" x14ac:dyDescent="0.3">
      <c r="A345" s="3">
        <v>122</v>
      </c>
    </row>
    <row r="346" spans="1:1" x14ac:dyDescent="0.3">
      <c r="A346" s="3">
        <v>162</v>
      </c>
    </row>
    <row r="347" spans="1:1" x14ac:dyDescent="0.3">
      <c r="A347" s="3">
        <v>138</v>
      </c>
    </row>
    <row r="348" spans="1:1" x14ac:dyDescent="0.3">
      <c r="A348" s="3">
        <v>136</v>
      </c>
    </row>
    <row r="349" spans="1:1" x14ac:dyDescent="0.3">
      <c r="A349" s="3">
        <v>399</v>
      </c>
    </row>
    <row r="350" spans="1:1" x14ac:dyDescent="0.3">
      <c r="A350" s="3">
        <v>199</v>
      </c>
    </row>
    <row r="351" spans="1:1" x14ac:dyDescent="0.3">
      <c r="A351" s="3">
        <v>127</v>
      </c>
    </row>
    <row r="352" spans="1:1" x14ac:dyDescent="0.3">
      <c r="A352" s="3">
        <v>242</v>
      </c>
    </row>
    <row r="353" spans="1:1" x14ac:dyDescent="0.3">
      <c r="A353" s="3">
        <v>128</v>
      </c>
    </row>
    <row r="354" spans="1:1" x14ac:dyDescent="0.3">
      <c r="A354" s="3">
        <v>134</v>
      </c>
    </row>
    <row r="355" spans="1:1" x14ac:dyDescent="0.3">
      <c r="A355" s="3">
        <v>126</v>
      </c>
    </row>
    <row r="356" spans="1:1" x14ac:dyDescent="0.3">
      <c r="A356" s="3">
        <v>199</v>
      </c>
    </row>
    <row r="357" spans="1:1" x14ac:dyDescent="0.3">
      <c r="A357" s="3">
        <v>170</v>
      </c>
    </row>
    <row r="358" spans="1:1" x14ac:dyDescent="0.3">
      <c r="A358" s="3">
        <v>142</v>
      </c>
    </row>
    <row r="359" spans="1:1" x14ac:dyDescent="0.3">
      <c r="A359" s="3">
        <v>121</v>
      </c>
    </row>
    <row r="360" spans="1:1" x14ac:dyDescent="0.3">
      <c r="A360" s="3">
        <v>137</v>
      </c>
    </row>
    <row r="361" spans="1:1" x14ac:dyDescent="0.3">
      <c r="A361" s="3">
        <v>199</v>
      </c>
    </row>
    <row r="362" spans="1:1" x14ac:dyDescent="0.3">
      <c r="A362" s="3">
        <v>171</v>
      </c>
    </row>
    <row r="363" spans="1:1" x14ac:dyDescent="0.3">
      <c r="A363" s="3">
        <v>299</v>
      </c>
    </row>
    <row r="364" spans="1:1" x14ac:dyDescent="0.3">
      <c r="A364" s="3">
        <v>169</v>
      </c>
    </row>
    <row r="365" spans="1:1" x14ac:dyDescent="0.3">
      <c r="A365" s="3">
        <v>399</v>
      </c>
    </row>
    <row r="366" spans="1:1" x14ac:dyDescent="0.3">
      <c r="A366" s="3">
        <v>249</v>
      </c>
    </row>
    <row r="367" spans="1:1" x14ac:dyDescent="0.3">
      <c r="A367" s="3">
        <v>129</v>
      </c>
    </row>
    <row r="368" spans="1:1" x14ac:dyDescent="0.3">
      <c r="A368" s="3">
        <v>134</v>
      </c>
    </row>
    <row r="369" spans="1:1" x14ac:dyDescent="0.3">
      <c r="A369" s="3">
        <v>349</v>
      </c>
    </row>
    <row r="370" spans="1:1" x14ac:dyDescent="0.3">
      <c r="A370" s="3">
        <v>125</v>
      </c>
    </row>
    <row r="371" spans="1:1" x14ac:dyDescent="0.3">
      <c r="A371" s="3">
        <v>329</v>
      </c>
    </row>
    <row r="372" spans="1:1" x14ac:dyDescent="0.3">
      <c r="A372" s="3">
        <v>123</v>
      </c>
    </row>
    <row r="373" spans="1:1" x14ac:dyDescent="0.3">
      <c r="A373" s="3">
        <v>271</v>
      </c>
    </row>
    <row r="374" spans="1:1" x14ac:dyDescent="0.3">
      <c r="A374" s="3">
        <v>299</v>
      </c>
    </row>
    <row r="375" spans="1:1" x14ac:dyDescent="0.3">
      <c r="A375" s="3">
        <v>299</v>
      </c>
    </row>
    <row r="376" spans="1:1" x14ac:dyDescent="0.3">
      <c r="A376" s="3">
        <v>177</v>
      </c>
    </row>
    <row r="377" spans="1:1" x14ac:dyDescent="0.3">
      <c r="A377" s="3">
        <v>268</v>
      </c>
    </row>
    <row r="378" spans="1:1" x14ac:dyDescent="0.3">
      <c r="A378" s="3">
        <v>135</v>
      </c>
    </row>
    <row r="379" spans="1:1" x14ac:dyDescent="0.3">
      <c r="A379" s="3">
        <v>165</v>
      </c>
    </row>
    <row r="380" spans="1:1" x14ac:dyDescent="0.3">
      <c r="A380" s="3">
        <v>329</v>
      </c>
    </row>
    <row r="381" spans="1:1" x14ac:dyDescent="0.3">
      <c r="A381" s="3">
        <v>329</v>
      </c>
    </row>
    <row r="382" spans="1:1" x14ac:dyDescent="0.3">
      <c r="A382" s="3">
        <v>133</v>
      </c>
    </row>
    <row r="383" spans="1:1" x14ac:dyDescent="0.3">
      <c r="A383" s="3">
        <v>289</v>
      </c>
    </row>
    <row r="384" spans="1:1" x14ac:dyDescent="0.3">
      <c r="A384" s="3">
        <v>299</v>
      </c>
    </row>
    <row r="385" spans="1:1" x14ac:dyDescent="0.3">
      <c r="A385" s="3">
        <v>299</v>
      </c>
    </row>
    <row r="386" spans="1:1" x14ac:dyDescent="0.3">
      <c r="A386" s="3">
        <v>179</v>
      </c>
    </row>
    <row r="387" spans="1:1" x14ac:dyDescent="0.3">
      <c r="A387" s="3">
        <v>199</v>
      </c>
    </row>
    <row r="388" spans="1:1" x14ac:dyDescent="0.3">
      <c r="A388" s="3">
        <v>275</v>
      </c>
    </row>
    <row r="389" spans="1:1" x14ac:dyDescent="0.3">
      <c r="A389" s="3">
        <v>249</v>
      </c>
    </row>
    <row r="390" spans="1:1" x14ac:dyDescent="0.3">
      <c r="A390" s="3">
        <v>299</v>
      </c>
    </row>
    <row r="391" spans="1:1" x14ac:dyDescent="0.3">
      <c r="A391" s="3">
        <v>379</v>
      </c>
    </row>
    <row r="392" spans="1:1" x14ac:dyDescent="0.3">
      <c r="A392" s="3">
        <v>199</v>
      </c>
    </row>
    <row r="393" spans="1:1" x14ac:dyDescent="0.3">
      <c r="A393" s="3">
        <v>199</v>
      </c>
    </row>
    <row r="394" spans="1:1" x14ac:dyDescent="0.3">
      <c r="A394" s="3">
        <v>298</v>
      </c>
    </row>
    <row r="395" spans="1:1" x14ac:dyDescent="0.3">
      <c r="A395" s="3">
        <v>199</v>
      </c>
    </row>
    <row r="396" spans="1:1" x14ac:dyDescent="0.3">
      <c r="A396" s="3">
        <v>299</v>
      </c>
    </row>
    <row r="397" spans="1:1" x14ac:dyDescent="0.3">
      <c r="A397" s="3">
        <v>290</v>
      </c>
    </row>
    <row r="398" spans="1:1" x14ac:dyDescent="0.3">
      <c r="A398" s="3">
        <v>229</v>
      </c>
    </row>
    <row r="399" spans="1:1" x14ac:dyDescent="0.3">
      <c r="A399" s="3">
        <v>199</v>
      </c>
    </row>
    <row r="400" spans="1:1" x14ac:dyDescent="0.3">
      <c r="A400" s="3">
        <v>399</v>
      </c>
    </row>
    <row r="401" spans="1:1" x14ac:dyDescent="0.3">
      <c r="A401" s="3">
        <v>279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888EA-F4D0-4B3F-A5EE-29D53B07FDE7}">
  <dimension ref="A1:A401"/>
  <sheetViews>
    <sheetView zoomScale="121" workbookViewId="0">
      <selection activeCell="H3" sqref="H3"/>
    </sheetView>
  </sheetViews>
  <sheetFormatPr defaultRowHeight="15.6" x14ac:dyDescent="0.3"/>
  <sheetData>
    <row r="1" spans="1:1" x14ac:dyDescent="0.3">
      <c r="A1" s="4" t="s">
        <v>2</v>
      </c>
    </row>
    <row r="2" spans="1:1" x14ac:dyDescent="0.3">
      <c r="A2" s="6">
        <v>499</v>
      </c>
    </row>
    <row r="3" spans="1:1" x14ac:dyDescent="0.3">
      <c r="A3" s="6">
        <v>599</v>
      </c>
    </row>
    <row r="4" spans="1:1" x14ac:dyDescent="0.3">
      <c r="A4" s="6">
        <v>499</v>
      </c>
    </row>
    <row r="5" spans="1:1" x14ac:dyDescent="0.3">
      <c r="A5" s="6">
        <v>399</v>
      </c>
    </row>
    <row r="6" spans="1:1" x14ac:dyDescent="0.3">
      <c r="A6" s="6">
        <v>398</v>
      </c>
    </row>
    <row r="7" spans="1:1" x14ac:dyDescent="0.3">
      <c r="A7" s="6">
        <v>599</v>
      </c>
    </row>
    <row r="8" spans="1:1" x14ac:dyDescent="0.3">
      <c r="A8" s="6">
        <v>489</v>
      </c>
    </row>
    <row r="9" spans="1:1" x14ac:dyDescent="0.3">
      <c r="A9" s="6">
        <v>499</v>
      </c>
    </row>
    <row r="10" spans="1:1" x14ac:dyDescent="0.3">
      <c r="A10" s="6">
        <v>499</v>
      </c>
    </row>
    <row r="11" spans="1:1" x14ac:dyDescent="0.3">
      <c r="A11" s="6">
        <v>499</v>
      </c>
    </row>
    <row r="12" spans="1:1" x14ac:dyDescent="0.3">
      <c r="A12" s="6">
        <v>299</v>
      </c>
    </row>
    <row r="13" spans="1:1" x14ac:dyDescent="0.3">
      <c r="A13" s="6">
        <v>499</v>
      </c>
    </row>
    <row r="14" spans="1:1" x14ac:dyDescent="0.3">
      <c r="A14" s="6">
        <v>405</v>
      </c>
    </row>
    <row r="15" spans="1:1" x14ac:dyDescent="0.3">
      <c r="A15" s="6">
        <v>499</v>
      </c>
    </row>
    <row r="16" spans="1:1" x14ac:dyDescent="0.3">
      <c r="A16" s="6">
        <v>499</v>
      </c>
    </row>
    <row r="17" spans="1:1" x14ac:dyDescent="0.3">
      <c r="A17" s="6">
        <v>799</v>
      </c>
    </row>
    <row r="18" spans="1:1" x14ac:dyDescent="0.3">
      <c r="A18" s="6">
        <v>422</v>
      </c>
    </row>
    <row r="19" spans="1:1" x14ac:dyDescent="0.3">
      <c r="A19" s="6">
        <v>449</v>
      </c>
    </row>
    <row r="20" spans="1:1" x14ac:dyDescent="0.3">
      <c r="A20" s="6">
        <v>399</v>
      </c>
    </row>
    <row r="21" spans="1:1" x14ac:dyDescent="0.3">
      <c r="A21" s="6">
        <v>399</v>
      </c>
    </row>
    <row r="22" spans="1:1" x14ac:dyDescent="0.3">
      <c r="A22" s="6">
        <v>399</v>
      </c>
    </row>
    <row r="23" spans="1:1" x14ac:dyDescent="0.3">
      <c r="A23" s="6">
        <v>399</v>
      </c>
    </row>
    <row r="24" spans="1:1" x14ac:dyDescent="0.3">
      <c r="A24" s="6">
        <v>235</v>
      </c>
    </row>
    <row r="25" spans="1:1" x14ac:dyDescent="0.3">
      <c r="A25" s="6">
        <v>299</v>
      </c>
    </row>
    <row r="26" spans="1:1" x14ac:dyDescent="0.3">
      <c r="A26" s="6">
        <v>599</v>
      </c>
    </row>
    <row r="27" spans="1:1" x14ac:dyDescent="0.3">
      <c r="A27" s="6">
        <v>663</v>
      </c>
    </row>
    <row r="28" spans="1:1" x14ac:dyDescent="0.3">
      <c r="A28" s="6">
        <v>399</v>
      </c>
    </row>
    <row r="29" spans="1:1" x14ac:dyDescent="0.3">
      <c r="A29" s="6">
        <v>349</v>
      </c>
    </row>
    <row r="30" spans="1:1" x14ac:dyDescent="0.3">
      <c r="A30" s="6">
        <v>999</v>
      </c>
    </row>
    <row r="31" spans="1:1" x14ac:dyDescent="0.3">
      <c r="A31" s="6">
        <v>499</v>
      </c>
    </row>
    <row r="32" spans="1:1" x14ac:dyDescent="0.3">
      <c r="A32" s="6">
        <v>299</v>
      </c>
    </row>
    <row r="33" spans="1:1" x14ac:dyDescent="0.3">
      <c r="A33" s="6">
        <v>499</v>
      </c>
    </row>
    <row r="34" spans="1:1" x14ac:dyDescent="0.3">
      <c r="A34" s="6">
        <v>399</v>
      </c>
    </row>
    <row r="35" spans="1:1" x14ac:dyDescent="0.3">
      <c r="A35" s="6">
        <v>489</v>
      </c>
    </row>
    <row r="36" spans="1:1" x14ac:dyDescent="0.3">
      <c r="A36" s="6">
        <v>599</v>
      </c>
    </row>
    <row r="37" spans="1:1" x14ac:dyDescent="0.3">
      <c r="A37" s="6">
        <v>549</v>
      </c>
    </row>
    <row r="38" spans="1:1" x14ac:dyDescent="0.3">
      <c r="A38" s="6">
        <v>299</v>
      </c>
    </row>
    <row r="39" spans="1:1" x14ac:dyDescent="0.3">
      <c r="A39" s="6">
        <v>399</v>
      </c>
    </row>
    <row r="40" spans="1:1" x14ac:dyDescent="0.3">
      <c r="A40" s="6">
        <v>499</v>
      </c>
    </row>
    <row r="41" spans="1:1" x14ac:dyDescent="0.3">
      <c r="A41" s="6">
        <v>599</v>
      </c>
    </row>
    <row r="42" spans="1:1" x14ac:dyDescent="0.3">
      <c r="A42" s="6">
        <v>999</v>
      </c>
    </row>
    <row r="43" spans="1:1" x14ac:dyDescent="0.3">
      <c r="A43" s="6">
        <v>499</v>
      </c>
    </row>
    <row r="44" spans="1:1" x14ac:dyDescent="0.3">
      <c r="A44" s="6">
        <v>299</v>
      </c>
    </row>
    <row r="45" spans="1:1" x14ac:dyDescent="0.3">
      <c r="A45" s="6">
        <v>549</v>
      </c>
    </row>
    <row r="46" spans="1:1" x14ac:dyDescent="0.3">
      <c r="A46" s="6">
        <v>599</v>
      </c>
    </row>
    <row r="47" spans="1:1" x14ac:dyDescent="0.3">
      <c r="A47" s="6">
        <v>399</v>
      </c>
    </row>
    <row r="48" spans="1:1" x14ac:dyDescent="0.3">
      <c r="A48" s="6">
        <v>499</v>
      </c>
    </row>
    <row r="49" spans="1:1" x14ac:dyDescent="0.3">
      <c r="A49" s="6">
        <v>199</v>
      </c>
    </row>
    <row r="50" spans="1:1" x14ac:dyDescent="0.3">
      <c r="A50" s="6">
        <v>499</v>
      </c>
    </row>
    <row r="51" spans="1:1" x14ac:dyDescent="0.3">
      <c r="A51" s="6">
        <v>489</v>
      </c>
    </row>
    <row r="52" spans="1:1" x14ac:dyDescent="0.3">
      <c r="A52" s="6">
        <v>399</v>
      </c>
    </row>
    <row r="53" spans="1:1" x14ac:dyDescent="0.3">
      <c r="A53" s="6">
        <v>904</v>
      </c>
    </row>
    <row r="54" spans="1:1" x14ac:dyDescent="0.3">
      <c r="A54" s="6">
        <v>599</v>
      </c>
    </row>
    <row r="55" spans="1:1" x14ac:dyDescent="0.3">
      <c r="A55" s="6">
        <v>350</v>
      </c>
    </row>
    <row r="56" spans="1:1" x14ac:dyDescent="0.3">
      <c r="A56" s="6">
        <v>799</v>
      </c>
    </row>
    <row r="57" spans="1:1" x14ac:dyDescent="0.3">
      <c r="A57" s="6">
        <v>299</v>
      </c>
    </row>
    <row r="58" spans="1:1" x14ac:dyDescent="0.3">
      <c r="A58" s="6">
        <v>249</v>
      </c>
    </row>
    <row r="59" spans="1:1" x14ac:dyDescent="0.3">
      <c r="A59" s="6">
        <v>499</v>
      </c>
    </row>
    <row r="60" spans="1:1" x14ac:dyDescent="0.3">
      <c r="A60" s="6">
        <v>449</v>
      </c>
    </row>
    <row r="61" spans="1:1" x14ac:dyDescent="0.3">
      <c r="A61" s="6">
        <v>499</v>
      </c>
    </row>
    <row r="62" spans="1:1" x14ac:dyDescent="0.3">
      <c r="A62" s="6">
        <v>599</v>
      </c>
    </row>
    <row r="63" spans="1:1" x14ac:dyDescent="0.3">
      <c r="A63" s="6">
        <v>589</v>
      </c>
    </row>
    <row r="64" spans="1:1" x14ac:dyDescent="0.3">
      <c r="A64" s="6">
        <v>408</v>
      </c>
    </row>
    <row r="65" spans="1:1" x14ac:dyDescent="0.3">
      <c r="A65" s="6">
        <v>398</v>
      </c>
    </row>
    <row r="66" spans="1:1" x14ac:dyDescent="0.3">
      <c r="A66" s="6">
        <v>499</v>
      </c>
    </row>
    <row r="67" spans="1:1" x14ac:dyDescent="0.3">
      <c r="A67" s="6">
        <v>270</v>
      </c>
    </row>
    <row r="68" spans="1:1" x14ac:dyDescent="0.3">
      <c r="A68" s="6">
        <v>249</v>
      </c>
    </row>
    <row r="69" spans="1:1" x14ac:dyDescent="0.3">
      <c r="A69" s="6">
        <v>489</v>
      </c>
    </row>
    <row r="70" spans="1:1" x14ac:dyDescent="0.3">
      <c r="A70" s="6">
        <v>229</v>
      </c>
    </row>
    <row r="71" spans="1:1" x14ac:dyDescent="0.3">
      <c r="A71" s="6">
        <v>399</v>
      </c>
    </row>
    <row r="72" spans="1:1" x14ac:dyDescent="0.3">
      <c r="A72" s="6">
        <v>499</v>
      </c>
    </row>
    <row r="73" spans="1:1" x14ac:dyDescent="0.3">
      <c r="A73" s="6">
        <v>699</v>
      </c>
    </row>
    <row r="74" spans="1:1" x14ac:dyDescent="0.3">
      <c r="A74" s="6">
        <v>499</v>
      </c>
    </row>
    <row r="75" spans="1:1" x14ac:dyDescent="0.3">
      <c r="A75" s="6">
        <v>339</v>
      </c>
    </row>
    <row r="76" spans="1:1" x14ac:dyDescent="0.3">
      <c r="A76" s="6">
        <v>399</v>
      </c>
    </row>
    <row r="77" spans="1:1" x14ac:dyDescent="0.3">
      <c r="A77" s="6">
        <v>499</v>
      </c>
    </row>
    <row r="78" spans="1:1" x14ac:dyDescent="0.3">
      <c r="A78" s="6">
        <v>399</v>
      </c>
    </row>
    <row r="79" spans="1:1" x14ac:dyDescent="0.3">
      <c r="A79" s="6">
        <v>250</v>
      </c>
    </row>
    <row r="80" spans="1:1" x14ac:dyDescent="0.3">
      <c r="A80" s="6">
        <v>599</v>
      </c>
    </row>
    <row r="81" spans="1:1" x14ac:dyDescent="0.3">
      <c r="A81" s="6">
        <v>399</v>
      </c>
    </row>
    <row r="82" spans="1:1" x14ac:dyDescent="0.3">
      <c r="A82" s="6">
        <v>599</v>
      </c>
    </row>
    <row r="83" spans="1:1" x14ac:dyDescent="0.3">
      <c r="A83" s="6">
        <v>799</v>
      </c>
    </row>
    <row r="84" spans="1:1" x14ac:dyDescent="0.3">
      <c r="A84" s="6">
        <v>432</v>
      </c>
    </row>
    <row r="85" spans="1:1" x14ac:dyDescent="0.3">
      <c r="A85" s="6">
        <v>499</v>
      </c>
    </row>
    <row r="86" spans="1:1" x14ac:dyDescent="0.3">
      <c r="A86" s="6">
        <v>153</v>
      </c>
    </row>
    <row r="87" spans="1:1" x14ac:dyDescent="0.3">
      <c r="A87" s="6">
        <v>999</v>
      </c>
    </row>
    <row r="88" spans="1:1" x14ac:dyDescent="0.3">
      <c r="A88" s="6">
        <v>799</v>
      </c>
    </row>
    <row r="89" spans="1:1" x14ac:dyDescent="0.3">
      <c r="A89" s="6">
        <v>499</v>
      </c>
    </row>
    <row r="90" spans="1:1" x14ac:dyDescent="0.3">
      <c r="A90" s="6">
        <v>499</v>
      </c>
    </row>
    <row r="91" spans="1:1" x14ac:dyDescent="0.3">
      <c r="A91" s="6">
        <v>299</v>
      </c>
    </row>
    <row r="92" spans="1:1" x14ac:dyDescent="0.3">
      <c r="A92" s="6">
        <v>599</v>
      </c>
    </row>
    <row r="93" spans="1:1" x14ac:dyDescent="0.3">
      <c r="A93" s="6">
        <v>376</v>
      </c>
    </row>
    <row r="94" spans="1:1" x14ac:dyDescent="0.3">
      <c r="A94" s="6">
        <v>299</v>
      </c>
    </row>
    <row r="95" spans="1:1" x14ac:dyDescent="0.3">
      <c r="A95" s="6">
        <v>599</v>
      </c>
    </row>
    <row r="96" spans="1:1" x14ac:dyDescent="0.3">
      <c r="A96" s="6">
        <v>499</v>
      </c>
    </row>
    <row r="97" spans="1:1" x14ac:dyDescent="0.3">
      <c r="A97" s="6">
        <v>419</v>
      </c>
    </row>
    <row r="98" spans="1:1" x14ac:dyDescent="0.3">
      <c r="A98" s="6">
        <v>399</v>
      </c>
    </row>
    <row r="99" spans="1:1" x14ac:dyDescent="0.3">
      <c r="A99" s="6">
        <v>598</v>
      </c>
    </row>
    <row r="100" spans="1:1" x14ac:dyDescent="0.3">
      <c r="A100" s="6">
        <v>299</v>
      </c>
    </row>
    <row r="101" spans="1:1" x14ac:dyDescent="0.3">
      <c r="A101" s="6">
        <v>499</v>
      </c>
    </row>
    <row r="102" spans="1:1" x14ac:dyDescent="0.3">
      <c r="A102" s="6">
        <v>398</v>
      </c>
    </row>
    <row r="103" spans="1:1" x14ac:dyDescent="0.3">
      <c r="A103" s="6">
        <v>313</v>
      </c>
    </row>
    <row r="104" spans="1:1" x14ac:dyDescent="0.3">
      <c r="A104" s="6">
        <v>399</v>
      </c>
    </row>
    <row r="105" spans="1:1" x14ac:dyDescent="0.3">
      <c r="A105" s="6">
        <v>599</v>
      </c>
    </row>
    <row r="106" spans="1:1" x14ac:dyDescent="0.3">
      <c r="A106" s="6">
        <v>1000</v>
      </c>
    </row>
    <row r="107" spans="1:1" x14ac:dyDescent="0.3">
      <c r="A107" s="6">
        <v>499</v>
      </c>
    </row>
    <row r="108" spans="1:1" x14ac:dyDescent="0.3">
      <c r="A108" s="6">
        <v>999</v>
      </c>
    </row>
    <row r="109" spans="1:1" x14ac:dyDescent="0.3">
      <c r="A109" s="6">
        <v>299</v>
      </c>
    </row>
    <row r="110" spans="1:1" x14ac:dyDescent="0.3">
      <c r="A110" s="6">
        <v>499</v>
      </c>
    </row>
    <row r="111" spans="1:1" x14ac:dyDescent="0.3">
      <c r="A111" s="6">
        <v>492</v>
      </c>
    </row>
    <row r="112" spans="1:1" x14ac:dyDescent="0.3">
      <c r="A112" s="6">
        <v>399</v>
      </c>
    </row>
    <row r="113" spans="1:1" x14ac:dyDescent="0.3">
      <c r="A113" s="6">
        <v>599</v>
      </c>
    </row>
    <row r="114" spans="1:1" x14ac:dyDescent="0.3">
      <c r="A114" s="6">
        <v>499</v>
      </c>
    </row>
    <row r="115" spans="1:1" x14ac:dyDescent="0.3">
      <c r="A115" s="6">
        <v>899</v>
      </c>
    </row>
    <row r="116" spans="1:1" x14ac:dyDescent="0.3">
      <c r="A116" s="6">
        <v>499</v>
      </c>
    </row>
    <row r="117" spans="1:1" x14ac:dyDescent="0.3">
      <c r="A117" s="6">
        <v>499</v>
      </c>
    </row>
    <row r="118" spans="1:1" x14ac:dyDescent="0.3">
      <c r="A118" s="6">
        <v>498</v>
      </c>
    </row>
    <row r="119" spans="1:1" x14ac:dyDescent="0.3">
      <c r="A119" s="6">
        <v>599</v>
      </c>
    </row>
    <row r="120" spans="1:1" x14ac:dyDescent="0.3">
      <c r="A120" s="6">
        <v>499</v>
      </c>
    </row>
    <row r="121" spans="1:1" x14ac:dyDescent="0.3">
      <c r="A121" s="6">
        <v>500</v>
      </c>
    </row>
    <row r="122" spans="1:1" x14ac:dyDescent="0.3">
      <c r="A122" s="6">
        <v>489</v>
      </c>
    </row>
    <row r="123" spans="1:1" x14ac:dyDescent="0.3">
      <c r="A123" s="6">
        <v>399</v>
      </c>
    </row>
    <row r="124" spans="1:1" x14ac:dyDescent="0.3">
      <c r="A124" s="6">
        <v>1200</v>
      </c>
    </row>
    <row r="125" spans="1:1" x14ac:dyDescent="0.3">
      <c r="A125" s="6">
        <v>499</v>
      </c>
    </row>
    <row r="126" spans="1:1" x14ac:dyDescent="0.3">
      <c r="A126" s="6">
        <v>1099</v>
      </c>
    </row>
    <row r="127" spans="1:1" x14ac:dyDescent="0.3">
      <c r="A127" s="6">
        <v>299</v>
      </c>
    </row>
    <row r="128" spans="1:1" x14ac:dyDescent="0.3">
      <c r="A128" s="6">
        <v>299</v>
      </c>
    </row>
    <row r="129" spans="1:1" x14ac:dyDescent="0.3">
      <c r="A129" s="6">
        <v>499</v>
      </c>
    </row>
    <row r="130" spans="1:1" x14ac:dyDescent="0.3">
      <c r="A130" s="6">
        <v>399</v>
      </c>
    </row>
    <row r="131" spans="1:1" x14ac:dyDescent="0.3">
      <c r="A131" s="6">
        <v>249</v>
      </c>
    </row>
    <row r="132" spans="1:1" x14ac:dyDescent="0.3">
      <c r="A132" s="6">
        <v>499</v>
      </c>
    </row>
    <row r="133" spans="1:1" x14ac:dyDescent="0.3">
      <c r="A133" s="6">
        <v>399</v>
      </c>
    </row>
    <row r="134" spans="1:1" x14ac:dyDescent="0.3">
      <c r="A134" s="6">
        <v>299</v>
      </c>
    </row>
    <row r="135" spans="1:1" x14ac:dyDescent="0.3">
      <c r="A135" s="6">
        <v>499</v>
      </c>
    </row>
    <row r="136" spans="1:1" x14ac:dyDescent="0.3">
      <c r="A136" s="6">
        <v>599</v>
      </c>
    </row>
    <row r="137" spans="1:1" x14ac:dyDescent="0.3">
      <c r="A137" s="6">
        <v>399</v>
      </c>
    </row>
    <row r="138" spans="1:1" x14ac:dyDescent="0.3">
      <c r="A138" s="6">
        <v>499</v>
      </c>
    </row>
    <row r="139" spans="1:1" x14ac:dyDescent="0.3">
      <c r="A139" s="6">
        <v>599</v>
      </c>
    </row>
    <row r="140" spans="1:1" x14ac:dyDescent="0.3">
      <c r="A140" s="6">
        <v>499</v>
      </c>
    </row>
    <row r="141" spans="1:1" x14ac:dyDescent="0.3">
      <c r="A141" s="6">
        <v>599</v>
      </c>
    </row>
    <row r="142" spans="1:1" x14ac:dyDescent="0.3">
      <c r="A142" s="6">
        <v>499</v>
      </c>
    </row>
    <row r="143" spans="1:1" x14ac:dyDescent="0.3">
      <c r="A143" s="6">
        <v>499</v>
      </c>
    </row>
    <row r="144" spans="1:1" x14ac:dyDescent="0.3">
      <c r="A144" s="6">
        <v>499</v>
      </c>
    </row>
    <row r="145" spans="1:1" x14ac:dyDescent="0.3">
      <c r="A145" s="6">
        <v>799</v>
      </c>
    </row>
    <row r="146" spans="1:1" x14ac:dyDescent="0.3">
      <c r="A146" s="6">
        <v>489</v>
      </c>
    </row>
    <row r="147" spans="1:1" x14ac:dyDescent="0.3">
      <c r="A147" s="6">
        <v>598</v>
      </c>
    </row>
    <row r="148" spans="1:1" x14ac:dyDescent="0.3">
      <c r="A148" s="6">
        <v>849</v>
      </c>
    </row>
    <row r="149" spans="1:1" x14ac:dyDescent="0.3">
      <c r="A149" s="6">
        <v>399</v>
      </c>
    </row>
    <row r="150" spans="1:1" x14ac:dyDescent="0.3">
      <c r="A150" s="6">
        <v>499</v>
      </c>
    </row>
    <row r="151" spans="1:1" x14ac:dyDescent="0.3">
      <c r="A151" s="6">
        <v>299</v>
      </c>
    </row>
    <row r="152" spans="1:1" x14ac:dyDescent="0.3">
      <c r="A152" s="6">
        <v>349</v>
      </c>
    </row>
    <row r="153" spans="1:1" x14ac:dyDescent="0.3">
      <c r="A153" s="6">
        <v>599</v>
      </c>
    </row>
    <row r="154" spans="1:1" x14ac:dyDescent="0.3">
      <c r="A154" s="6">
        <v>399</v>
      </c>
    </row>
    <row r="155" spans="1:1" x14ac:dyDescent="0.3">
      <c r="A155" s="6">
        <v>298</v>
      </c>
    </row>
    <row r="156" spans="1:1" x14ac:dyDescent="0.3">
      <c r="A156" s="6">
        <v>280</v>
      </c>
    </row>
    <row r="157" spans="1:1" x14ac:dyDescent="0.3">
      <c r="A157" s="6">
        <v>305</v>
      </c>
    </row>
    <row r="158" spans="1:1" x14ac:dyDescent="0.3">
      <c r="A158" s="6">
        <v>399</v>
      </c>
    </row>
    <row r="159" spans="1:1" x14ac:dyDescent="0.3">
      <c r="A159" s="6">
        <v>247</v>
      </c>
    </row>
    <row r="160" spans="1:1" x14ac:dyDescent="0.3">
      <c r="A160" s="6">
        <v>450</v>
      </c>
    </row>
    <row r="161" spans="1:1" x14ac:dyDescent="0.3">
      <c r="A161" s="6">
        <v>439</v>
      </c>
    </row>
    <row r="162" spans="1:1" x14ac:dyDescent="0.3">
      <c r="A162" s="6">
        <v>599</v>
      </c>
    </row>
    <row r="163" spans="1:1" x14ac:dyDescent="0.3">
      <c r="A163" s="6">
        <v>399</v>
      </c>
    </row>
    <row r="164" spans="1:1" x14ac:dyDescent="0.3">
      <c r="A164" s="6">
        <v>298</v>
      </c>
    </row>
    <row r="165" spans="1:1" x14ac:dyDescent="0.3">
      <c r="A165" s="6">
        <v>499</v>
      </c>
    </row>
    <row r="166" spans="1:1" x14ac:dyDescent="0.3">
      <c r="A166" s="6">
        <v>499</v>
      </c>
    </row>
    <row r="167" spans="1:1" x14ac:dyDescent="0.3">
      <c r="A167" s="6">
        <v>389</v>
      </c>
    </row>
    <row r="168" spans="1:1" x14ac:dyDescent="0.3">
      <c r="A168" s="6">
        <v>445</v>
      </c>
    </row>
    <row r="169" spans="1:1" x14ac:dyDescent="0.3">
      <c r="A169" s="6">
        <v>399</v>
      </c>
    </row>
    <row r="170" spans="1:1" x14ac:dyDescent="0.3">
      <c r="A170" s="6">
        <v>499</v>
      </c>
    </row>
    <row r="171" spans="1:1" x14ac:dyDescent="0.3">
      <c r="A171" s="6">
        <v>599</v>
      </c>
    </row>
    <row r="172" spans="1:1" x14ac:dyDescent="0.3">
      <c r="A172" s="6">
        <v>499</v>
      </c>
    </row>
    <row r="173" spans="1:1" x14ac:dyDescent="0.3">
      <c r="A173" s="6">
        <v>499</v>
      </c>
    </row>
    <row r="174" spans="1:1" x14ac:dyDescent="0.3">
      <c r="A174" s="6">
        <v>800</v>
      </c>
    </row>
    <row r="175" spans="1:1" x14ac:dyDescent="0.3">
      <c r="A175" s="6">
        <v>251</v>
      </c>
    </row>
    <row r="176" spans="1:1" x14ac:dyDescent="0.3">
      <c r="A176" s="6">
        <v>499</v>
      </c>
    </row>
    <row r="177" spans="1:1" x14ac:dyDescent="0.3">
      <c r="A177" s="6">
        <v>425</v>
      </c>
    </row>
    <row r="178" spans="1:1" x14ac:dyDescent="0.3">
      <c r="A178" s="6">
        <v>399</v>
      </c>
    </row>
    <row r="179" spans="1:1" x14ac:dyDescent="0.3">
      <c r="A179" s="6">
        <v>849</v>
      </c>
    </row>
    <row r="180" spans="1:1" x14ac:dyDescent="0.3">
      <c r="A180" s="6">
        <v>384</v>
      </c>
    </row>
    <row r="181" spans="1:1" x14ac:dyDescent="0.3">
      <c r="A181" s="6">
        <v>599</v>
      </c>
    </row>
    <row r="182" spans="1:1" x14ac:dyDescent="0.3">
      <c r="A182" s="6">
        <v>299</v>
      </c>
    </row>
    <row r="183" spans="1:1" x14ac:dyDescent="0.3">
      <c r="A183" s="6">
        <v>499</v>
      </c>
    </row>
    <row r="184" spans="1:1" x14ac:dyDescent="0.3">
      <c r="A184" s="6">
        <v>1200</v>
      </c>
    </row>
    <row r="185" spans="1:1" x14ac:dyDescent="0.3">
      <c r="A185" s="6">
        <v>599</v>
      </c>
    </row>
    <row r="186" spans="1:1" x14ac:dyDescent="0.3">
      <c r="A186" s="6">
        <v>799</v>
      </c>
    </row>
    <row r="187" spans="1:1" x14ac:dyDescent="0.3">
      <c r="A187" s="6">
        <v>299</v>
      </c>
    </row>
    <row r="188" spans="1:1" x14ac:dyDescent="0.3">
      <c r="A188" s="6">
        <v>1999</v>
      </c>
    </row>
    <row r="189" spans="1:1" x14ac:dyDescent="0.3">
      <c r="A189" s="6">
        <v>449</v>
      </c>
    </row>
    <row r="190" spans="1:1" x14ac:dyDescent="0.3">
      <c r="A190" s="6">
        <v>499</v>
      </c>
    </row>
    <row r="191" spans="1:1" x14ac:dyDescent="0.3">
      <c r="A191" s="6">
        <v>1200</v>
      </c>
    </row>
    <row r="192" spans="1:1" x14ac:dyDescent="0.3">
      <c r="A192" s="6">
        <v>295</v>
      </c>
    </row>
    <row r="193" spans="1:1" x14ac:dyDescent="0.3">
      <c r="A193" s="6">
        <v>550</v>
      </c>
    </row>
    <row r="194" spans="1:1" x14ac:dyDescent="0.3">
      <c r="A194" s="6">
        <v>399</v>
      </c>
    </row>
    <row r="195" spans="1:1" x14ac:dyDescent="0.3">
      <c r="A195" s="6">
        <v>599</v>
      </c>
    </row>
    <row r="196" spans="1:1" x14ac:dyDescent="0.3">
      <c r="A196" s="6">
        <v>1399</v>
      </c>
    </row>
    <row r="197" spans="1:1" x14ac:dyDescent="0.3">
      <c r="A197" s="6">
        <v>399</v>
      </c>
    </row>
    <row r="198" spans="1:1" x14ac:dyDescent="0.3">
      <c r="A198" s="6">
        <v>499</v>
      </c>
    </row>
    <row r="199" spans="1:1" x14ac:dyDescent="0.3">
      <c r="A199" s="6">
        <v>349</v>
      </c>
    </row>
    <row r="200" spans="1:1" x14ac:dyDescent="0.3">
      <c r="A200" s="6">
        <v>788</v>
      </c>
    </row>
    <row r="201" spans="1:1" x14ac:dyDescent="0.3">
      <c r="A201" s="6">
        <v>449</v>
      </c>
    </row>
    <row r="202" spans="1:1" x14ac:dyDescent="0.3">
      <c r="A202" s="6">
        <v>749</v>
      </c>
    </row>
    <row r="203" spans="1:1" x14ac:dyDescent="0.3">
      <c r="A203" s="6">
        <v>494</v>
      </c>
    </row>
    <row r="204" spans="1:1" x14ac:dyDescent="0.3">
      <c r="A204" s="6">
        <v>499</v>
      </c>
    </row>
    <row r="205" spans="1:1" x14ac:dyDescent="0.3">
      <c r="A205" s="6">
        <v>349</v>
      </c>
    </row>
    <row r="206" spans="1:1" x14ac:dyDescent="0.3">
      <c r="A206" s="6">
        <v>999</v>
      </c>
    </row>
    <row r="207" spans="1:1" x14ac:dyDescent="0.3">
      <c r="A207" s="6">
        <v>799</v>
      </c>
    </row>
    <row r="208" spans="1:1" x14ac:dyDescent="0.3">
      <c r="A208" s="6">
        <v>766</v>
      </c>
    </row>
    <row r="209" spans="1:1" x14ac:dyDescent="0.3">
      <c r="A209" s="6">
        <v>399</v>
      </c>
    </row>
    <row r="210" spans="1:1" x14ac:dyDescent="0.3">
      <c r="A210" s="6">
        <v>499</v>
      </c>
    </row>
    <row r="211" spans="1:1" x14ac:dyDescent="0.3">
      <c r="A211" s="6">
        <v>499</v>
      </c>
    </row>
    <row r="212" spans="1:1" x14ac:dyDescent="0.3">
      <c r="A212" s="6">
        <v>499</v>
      </c>
    </row>
    <row r="213" spans="1:1" x14ac:dyDescent="0.3">
      <c r="A213" s="6">
        <v>419</v>
      </c>
    </row>
    <row r="214" spans="1:1" x14ac:dyDescent="0.3">
      <c r="A214" s="6">
        <v>499</v>
      </c>
    </row>
    <row r="215" spans="1:1" x14ac:dyDescent="0.3">
      <c r="A215" s="6">
        <v>499</v>
      </c>
    </row>
    <row r="216" spans="1:1" x14ac:dyDescent="0.3">
      <c r="A216" s="6">
        <v>199</v>
      </c>
    </row>
    <row r="217" spans="1:1" x14ac:dyDescent="0.3">
      <c r="A217" s="6">
        <v>399</v>
      </c>
    </row>
    <row r="218" spans="1:1" x14ac:dyDescent="0.3">
      <c r="A218" s="6">
        <v>350</v>
      </c>
    </row>
    <row r="219" spans="1:1" x14ac:dyDescent="0.3">
      <c r="A219" s="6">
        <v>499</v>
      </c>
    </row>
    <row r="220" spans="1:1" x14ac:dyDescent="0.3">
      <c r="A220" s="6">
        <v>400</v>
      </c>
    </row>
    <row r="221" spans="1:1" x14ac:dyDescent="0.3">
      <c r="A221" s="6">
        <v>386</v>
      </c>
    </row>
    <row r="222" spans="1:1" x14ac:dyDescent="0.3">
      <c r="A222" s="6">
        <v>599</v>
      </c>
    </row>
    <row r="223" spans="1:1" x14ac:dyDescent="0.3">
      <c r="A223" s="6">
        <v>449</v>
      </c>
    </row>
    <row r="224" spans="1:1" x14ac:dyDescent="0.3">
      <c r="A224" s="6">
        <v>1500</v>
      </c>
    </row>
    <row r="225" spans="1:1" x14ac:dyDescent="0.3">
      <c r="A225" s="6">
        <v>489</v>
      </c>
    </row>
    <row r="226" spans="1:1" x14ac:dyDescent="0.3">
      <c r="A226" s="6">
        <v>399</v>
      </c>
    </row>
    <row r="227" spans="1:1" x14ac:dyDescent="0.3">
      <c r="A227" s="6">
        <v>349</v>
      </c>
    </row>
    <row r="228" spans="1:1" x14ac:dyDescent="0.3">
      <c r="A228" s="6">
        <v>599</v>
      </c>
    </row>
    <row r="229" spans="1:1" x14ac:dyDescent="0.3">
      <c r="A229" s="6">
        <v>699</v>
      </c>
    </row>
    <row r="230" spans="1:1" x14ac:dyDescent="0.3">
      <c r="A230" s="6">
        <v>442</v>
      </c>
    </row>
    <row r="231" spans="1:1" x14ac:dyDescent="0.3">
      <c r="A231" s="6">
        <v>499</v>
      </c>
    </row>
    <row r="232" spans="1:1" x14ac:dyDescent="0.3">
      <c r="A232" s="6">
        <v>499</v>
      </c>
    </row>
    <row r="233" spans="1:1" x14ac:dyDescent="0.3">
      <c r="A233" s="6">
        <v>499</v>
      </c>
    </row>
    <row r="234" spans="1:1" x14ac:dyDescent="0.3">
      <c r="A234" s="6">
        <v>499</v>
      </c>
    </row>
    <row r="235" spans="1:1" x14ac:dyDescent="0.3">
      <c r="A235" s="6">
        <v>890</v>
      </c>
    </row>
    <row r="236" spans="1:1" x14ac:dyDescent="0.3">
      <c r="A236" s="6">
        <v>499</v>
      </c>
    </row>
    <row r="237" spans="1:1" x14ac:dyDescent="0.3">
      <c r="A237" s="6">
        <v>399</v>
      </c>
    </row>
    <row r="238" spans="1:1" x14ac:dyDescent="0.3">
      <c r="A238" s="6">
        <v>190</v>
      </c>
    </row>
    <row r="239" spans="1:1" x14ac:dyDescent="0.3">
      <c r="A239" s="6">
        <v>1599</v>
      </c>
    </row>
    <row r="240" spans="1:1" x14ac:dyDescent="0.3">
      <c r="A240" s="6">
        <v>1033</v>
      </c>
    </row>
    <row r="241" spans="1:1" x14ac:dyDescent="0.3">
      <c r="A241" s="6">
        <v>599</v>
      </c>
    </row>
    <row r="242" spans="1:1" x14ac:dyDescent="0.3">
      <c r="A242" s="6">
        <v>699</v>
      </c>
    </row>
    <row r="243" spans="1:1" x14ac:dyDescent="0.3">
      <c r="A243" s="6">
        <v>349</v>
      </c>
    </row>
    <row r="244" spans="1:1" x14ac:dyDescent="0.3">
      <c r="A244" s="6">
        <v>399</v>
      </c>
    </row>
    <row r="245" spans="1:1" x14ac:dyDescent="0.3">
      <c r="A245" s="6">
        <v>599</v>
      </c>
    </row>
    <row r="246" spans="1:1" x14ac:dyDescent="0.3">
      <c r="A246" s="6">
        <v>599</v>
      </c>
    </row>
    <row r="247" spans="1:1" x14ac:dyDescent="0.3">
      <c r="A247" s="6">
        <v>349</v>
      </c>
    </row>
    <row r="248" spans="1:1" x14ac:dyDescent="0.3">
      <c r="A248" s="6">
        <v>599</v>
      </c>
    </row>
    <row r="249" spans="1:1" x14ac:dyDescent="0.3">
      <c r="A249" s="6">
        <v>299</v>
      </c>
    </row>
    <row r="250" spans="1:1" x14ac:dyDescent="0.3">
      <c r="A250" s="6">
        <v>489</v>
      </c>
    </row>
    <row r="251" spans="1:1" x14ac:dyDescent="0.3">
      <c r="A251" s="6">
        <v>299</v>
      </c>
    </row>
    <row r="252" spans="1:1" x14ac:dyDescent="0.3">
      <c r="A252" s="6">
        <v>499</v>
      </c>
    </row>
    <row r="253" spans="1:1" x14ac:dyDescent="0.3">
      <c r="A253" s="6">
        <v>200</v>
      </c>
    </row>
    <row r="254" spans="1:1" x14ac:dyDescent="0.3">
      <c r="A254" s="6">
        <v>789</v>
      </c>
    </row>
    <row r="255" spans="1:1" x14ac:dyDescent="0.3">
      <c r="A255" s="6">
        <v>499</v>
      </c>
    </row>
    <row r="256" spans="1:1" x14ac:dyDescent="0.3">
      <c r="A256" s="6">
        <v>1000</v>
      </c>
    </row>
    <row r="257" spans="1:1" x14ac:dyDescent="0.3">
      <c r="A257" s="6">
        <v>499</v>
      </c>
    </row>
    <row r="258" spans="1:1" x14ac:dyDescent="0.3">
      <c r="A258" s="6">
        <v>999</v>
      </c>
    </row>
    <row r="259" spans="1:1" x14ac:dyDescent="0.3">
      <c r="A259" s="6">
        <v>200</v>
      </c>
    </row>
    <row r="260" spans="1:1" x14ac:dyDescent="0.3">
      <c r="A260" s="6">
        <v>595</v>
      </c>
    </row>
    <row r="261" spans="1:1" x14ac:dyDescent="0.3">
      <c r="A261" s="6">
        <v>599</v>
      </c>
    </row>
    <row r="262" spans="1:1" x14ac:dyDescent="0.3">
      <c r="A262" s="6">
        <v>499</v>
      </c>
    </row>
    <row r="263" spans="1:1" x14ac:dyDescent="0.3">
      <c r="A263" s="6">
        <v>449</v>
      </c>
    </row>
    <row r="264" spans="1:1" x14ac:dyDescent="0.3">
      <c r="A264" s="6">
        <v>425</v>
      </c>
    </row>
    <row r="265" spans="1:1" x14ac:dyDescent="0.3">
      <c r="A265" s="6">
        <v>499</v>
      </c>
    </row>
    <row r="266" spans="1:1" x14ac:dyDescent="0.3">
      <c r="A266" s="6">
        <v>299</v>
      </c>
    </row>
    <row r="267" spans="1:1" x14ac:dyDescent="0.3">
      <c r="A267" s="6">
        <v>489</v>
      </c>
    </row>
    <row r="268" spans="1:1" x14ac:dyDescent="0.3">
      <c r="A268" s="6">
        <v>599</v>
      </c>
    </row>
    <row r="269" spans="1:1" x14ac:dyDescent="0.3">
      <c r="A269" s="6">
        <v>299</v>
      </c>
    </row>
    <row r="270" spans="1:1" x14ac:dyDescent="0.3">
      <c r="A270" s="6">
        <v>625</v>
      </c>
    </row>
    <row r="271" spans="1:1" x14ac:dyDescent="0.3">
      <c r="A271" s="6">
        <v>625</v>
      </c>
    </row>
    <row r="272" spans="1:1" x14ac:dyDescent="0.3">
      <c r="A272" s="6">
        <v>499</v>
      </c>
    </row>
    <row r="273" spans="1:1" x14ac:dyDescent="0.3">
      <c r="A273" s="6">
        <v>419</v>
      </c>
    </row>
    <row r="274" spans="1:1" x14ac:dyDescent="0.3">
      <c r="A274" s="6">
        <v>499</v>
      </c>
    </row>
    <row r="275" spans="1:1" x14ac:dyDescent="0.3">
      <c r="A275" s="6">
        <v>399</v>
      </c>
    </row>
    <row r="276" spans="1:1" x14ac:dyDescent="0.3">
      <c r="A276" s="6">
        <v>489</v>
      </c>
    </row>
    <row r="277" spans="1:1" x14ac:dyDescent="0.3">
      <c r="A277" s="6">
        <v>449</v>
      </c>
    </row>
    <row r="278" spans="1:1" x14ac:dyDescent="0.3">
      <c r="A278" s="6">
        <v>399</v>
      </c>
    </row>
    <row r="279" spans="1:1" x14ac:dyDescent="0.3">
      <c r="A279" s="6">
        <v>596</v>
      </c>
    </row>
    <row r="280" spans="1:1" x14ac:dyDescent="0.3">
      <c r="A280" s="6">
        <v>499</v>
      </c>
    </row>
    <row r="281" spans="1:1" x14ac:dyDescent="0.3">
      <c r="A281" s="6">
        <v>499</v>
      </c>
    </row>
    <row r="282" spans="1:1" x14ac:dyDescent="0.3">
      <c r="A282" s="6">
        <v>599</v>
      </c>
    </row>
    <row r="283" spans="1:1" x14ac:dyDescent="0.3">
      <c r="A283" s="6">
        <v>299</v>
      </c>
    </row>
    <row r="284" spans="1:1" x14ac:dyDescent="0.3">
      <c r="A284" s="6">
        <v>349</v>
      </c>
    </row>
    <row r="285" spans="1:1" x14ac:dyDescent="0.3">
      <c r="A285" s="6">
        <v>499</v>
      </c>
    </row>
    <row r="286" spans="1:1" x14ac:dyDescent="0.3">
      <c r="A286" s="6">
        <v>299</v>
      </c>
    </row>
    <row r="287" spans="1:1" x14ac:dyDescent="0.3">
      <c r="A287" s="6">
        <v>449</v>
      </c>
    </row>
    <row r="288" spans="1:1" x14ac:dyDescent="0.3">
      <c r="A288" s="6">
        <v>499</v>
      </c>
    </row>
    <row r="289" spans="1:1" x14ac:dyDescent="0.3">
      <c r="A289" s="6">
        <v>649</v>
      </c>
    </row>
    <row r="290" spans="1:1" x14ac:dyDescent="0.3">
      <c r="A290" s="6">
        <v>320</v>
      </c>
    </row>
    <row r="291" spans="1:1" x14ac:dyDescent="0.3">
      <c r="A291" s="6">
        <v>366</v>
      </c>
    </row>
    <row r="292" spans="1:1" x14ac:dyDescent="0.3">
      <c r="A292" s="6">
        <v>399</v>
      </c>
    </row>
    <row r="293" spans="1:1" x14ac:dyDescent="0.3">
      <c r="A293" s="6">
        <v>499</v>
      </c>
    </row>
    <row r="294" spans="1:1" x14ac:dyDescent="0.3">
      <c r="A294" s="6">
        <v>499</v>
      </c>
    </row>
    <row r="295" spans="1:1" x14ac:dyDescent="0.3">
      <c r="A295" s="6">
        <v>499</v>
      </c>
    </row>
    <row r="296" spans="1:1" x14ac:dyDescent="0.3">
      <c r="A296" s="6">
        <v>499</v>
      </c>
    </row>
    <row r="297" spans="1:1" x14ac:dyDescent="0.3">
      <c r="A297" s="6">
        <v>299</v>
      </c>
    </row>
    <row r="298" spans="1:1" x14ac:dyDescent="0.3">
      <c r="A298" s="6">
        <v>300</v>
      </c>
    </row>
    <row r="299" spans="1:1" x14ac:dyDescent="0.3">
      <c r="A299" s="6">
        <v>346</v>
      </c>
    </row>
    <row r="300" spans="1:1" x14ac:dyDescent="0.3">
      <c r="A300" s="6">
        <v>489</v>
      </c>
    </row>
    <row r="301" spans="1:1" x14ac:dyDescent="0.3">
      <c r="A301" s="6">
        <v>599</v>
      </c>
    </row>
    <row r="302" spans="1:1" x14ac:dyDescent="0.3">
      <c r="A302" s="6">
        <v>399</v>
      </c>
    </row>
    <row r="303" spans="1:1" x14ac:dyDescent="0.3">
      <c r="A303" s="6">
        <v>499</v>
      </c>
    </row>
    <row r="304" spans="1:1" x14ac:dyDescent="0.3">
      <c r="A304" s="6">
        <v>199</v>
      </c>
    </row>
    <row r="305" spans="1:1" x14ac:dyDescent="0.3">
      <c r="A305" s="6">
        <v>599</v>
      </c>
    </row>
    <row r="306" spans="1:1" x14ac:dyDescent="0.3">
      <c r="A306" s="6">
        <v>499</v>
      </c>
    </row>
    <row r="307" spans="1:1" x14ac:dyDescent="0.3">
      <c r="A307" s="6">
        <v>499</v>
      </c>
    </row>
    <row r="308" spans="1:1" x14ac:dyDescent="0.3">
      <c r="A308" s="6">
        <v>699</v>
      </c>
    </row>
    <row r="309" spans="1:1" x14ac:dyDescent="0.3">
      <c r="A309" s="6">
        <v>499</v>
      </c>
    </row>
    <row r="310" spans="1:1" x14ac:dyDescent="0.3">
      <c r="A310" s="6">
        <v>399</v>
      </c>
    </row>
    <row r="311" spans="1:1" x14ac:dyDescent="0.3">
      <c r="A311" s="6">
        <v>499</v>
      </c>
    </row>
    <row r="312" spans="1:1" x14ac:dyDescent="0.3">
      <c r="A312" s="6">
        <v>499</v>
      </c>
    </row>
    <row r="313" spans="1:1" x14ac:dyDescent="0.3">
      <c r="A313" s="6">
        <v>2999</v>
      </c>
    </row>
    <row r="314" spans="1:1" x14ac:dyDescent="0.3">
      <c r="A314" s="6">
        <v>498</v>
      </c>
    </row>
    <row r="315" spans="1:1" x14ac:dyDescent="0.3">
      <c r="A315" s="6">
        <v>299</v>
      </c>
    </row>
    <row r="316" spans="1:1" x14ac:dyDescent="0.3">
      <c r="A316" s="6">
        <v>299</v>
      </c>
    </row>
    <row r="317" spans="1:1" x14ac:dyDescent="0.3">
      <c r="A317" s="6">
        <v>570</v>
      </c>
    </row>
    <row r="318" spans="1:1" x14ac:dyDescent="0.3">
      <c r="A318" s="6">
        <v>599</v>
      </c>
    </row>
    <row r="319" spans="1:1" x14ac:dyDescent="0.3">
      <c r="A319" s="6">
        <v>599</v>
      </c>
    </row>
    <row r="320" spans="1:1" x14ac:dyDescent="0.3">
      <c r="A320" s="6">
        <v>399</v>
      </c>
    </row>
    <row r="321" spans="1:1" x14ac:dyDescent="0.3">
      <c r="A321" s="6">
        <v>659</v>
      </c>
    </row>
    <row r="322" spans="1:1" x14ac:dyDescent="0.3">
      <c r="A322" s="6">
        <v>499</v>
      </c>
    </row>
    <row r="323" spans="1:1" x14ac:dyDescent="0.3">
      <c r="A323" s="6">
        <v>659</v>
      </c>
    </row>
    <row r="324" spans="1:1" x14ac:dyDescent="0.3">
      <c r="A324" s="6">
        <v>294</v>
      </c>
    </row>
    <row r="325" spans="1:1" x14ac:dyDescent="0.3">
      <c r="A325" s="6">
        <v>399</v>
      </c>
    </row>
    <row r="326" spans="1:1" x14ac:dyDescent="0.3">
      <c r="A326" s="6">
        <v>399</v>
      </c>
    </row>
    <row r="327" spans="1:1" x14ac:dyDescent="0.3">
      <c r="A327" s="6">
        <v>379</v>
      </c>
    </row>
    <row r="328" spans="1:1" x14ac:dyDescent="0.3">
      <c r="A328" s="6">
        <v>549</v>
      </c>
    </row>
    <row r="329" spans="1:1" x14ac:dyDescent="0.3">
      <c r="A329" s="6">
        <v>399</v>
      </c>
    </row>
    <row r="330" spans="1:1" x14ac:dyDescent="0.3">
      <c r="A330" s="6">
        <v>1599</v>
      </c>
    </row>
    <row r="331" spans="1:1" x14ac:dyDescent="0.3">
      <c r="A331" s="6">
        <v>359</v>
      </c>
    </row>
    <row r="332" spans="1:1" x14ac:dyDescent="0.3">
      <c r="A332" s="6">
        <v>499</v>
      </c>
    </row>
    <row r="333" spans="1:1" x14ac:dyDescent="0.3">
      <c r="A333" s="6">
        <v>499</v>
      </c>
    </row>
    <row r="334" spans="1:1" x14ac:dyDescent="0.3">
      <c r="A334" s="6">
        <v>299</v>
      </c>
    </row>
    <row r="335" spans="1:1" x14ac:dyDescent="0.3">
      <c r="A335" s="6">
        <v>363</v>
      </c>
    </row>
    <row r="336" spans="1:1" x14ac:dyDescent="0.3">
      <c r="A336" s="6">
        <v>399</v>
      </c>
    </row>
    <row r="337" spans="1:1" x14ac:dyDescent="0.3">
      <c r="A337" s="6">
        <v>699</v>
      </c>
    </row>
    <row r="338" spans="1:1" x14ac:dyDescent="0.3">
      <c r="A338" s="6">
        <v>499</v>
      </c>
    </row>
    <row r="339" spans="1:1" x14ac:dyDescent="0.3">
      <c r="A339" s="6">
        <v>549</v>
      </c>
    </row>
    <row r="340" spans="1:1" x14ac:dyDescent="0.3">
      <c r="A340" s="6">
        <v>999</v>
      </c>
    </row>
    <row r="341" spans="1:1" x14ac:dyDescent="0.3">
      <c r="A341" s="6">
        <v>399</v>
      </c>
    </row>
    <row r="342" spans="1:1" x14ac:dyDescent="0.3">
      <c r="A342" s="6">
        <v>599</v>
      </c>
    </row>
    <row r="343" spans="1:1" x14ac:dyDescent="0.3">
      <c r="A343" s="6">
        <v>599</v>
      </c>
    </row>
    <row r="344" spans="1:1" x14ac:dyDescent="0.3">
      <c r="A344" s="6">
        <v>418</v>
      </c>
    </row>
    <row r="345" spans="1:1" x14ac:dyDescent="0.3">
      <c r="A345" s="6">
        <v>599</v>
      </c>
    </row>
    <row r="346" spans="1:1" x14ac:dyDescent="0.3">
      <c r="A346" s="6">
        <v>590</v>
      </c>
    </row>
    <row r="347" spans="1:1" x14ac:dyDescent="0.3">
      <c r="A347" s="6">
        <v>598</v>
      </c>
    </row>
    <row r="348" spans="1:1" x14ac:dyDescent="0.3">
      <c r="A348" s="6">
        <v>399</v>
      </c>
    </row>
    <row r="349" spans="1:1" x14ac:dyDescent="0.3">
      <c r="A349" s="6">
        <v>799</v>
      </c>
    </row>
    <row r="350" spans="1:1" x14ac:dyDescent="0.3">
      <c r="A350" s="6">
        <v>259</v>
      </c>
    </row>
    <row r="351" spans="1:1" x14ac:dyDescent="0.3">
      <c r="A351" s="6">
        <v>599</v>
      </c>
    </row>
    <row r="352" spans="1:1" x14ac:dyDescent="0.3">
      <c r="A352" s="6">
        <v>499</v>
      </c>
    </row>
    <row r="353" spans="1:1" x14ac:dyDescent="0.3">
      <c r="A353" s="6">
        <v>599</v>
      </c>
    </row>
    <row r="354" spans="1:1" x14ac:dyDescent="0.3">
      <c r="A354" s="6">
        <v>599</v>
      </c>
    </row>
    <row r="355" spans="1:1" x14ac:dyDescent="0.3">
      <c r="A355" s="6">
        <v>599</v>
      </c>
    </row>
    <row r="356" spans="1:1" x14ac:dyDescent="0.3">
      <c r="A356" s="6">
        <v>349</v>
      </c>
    </row>
    <row r="357" spans="1:1" x14ac:dyDescent="0.3">
      <c r="A357" s="6">
        <v>299</v>
      </c>
    </row>
    <row r="358" spans="1:1" x14ac:dyDescent="0.3">
      <c r="A358" s="6">
        <v>299</v>
      </c>
    </row>
    <row r="359" spans="1:1" x14ac:dyDescent="0.3">
      <c r="A359" s="6">
        <v>600</v>
      </c>
    </row>
    <row r="360" spans="1:1" x14ac:dyDescent="0.3">
      <c r="A360" s="6">
        <v>595</v>
      </c>
    </row>
    <row r="361" spans="1:1" x14ac:dyDescent="0.3">
      <c r="A361" s="6">
        <v>349</v>
      </c>
    </row>
    <row r="362" spans="1:1" x14ac:dyDescent="0.3">
      <c r="A362" s="6">
        <v>421</v>
      </c>
    </row>
    <row r="363" spans="1:1" x14ac:dyDescent="0.3">
      <c r="A363" s="6">
        <v>495</v>
      </c>
    </row>
    <row r="364" spans="1:1" x14ac:dyDescent="0.3">
      <c r="A364" s="6">
        <v>599</v>
      </c>
    </row>
    <row r="365" spans="1:1" x14ac:dyDescent="0.3">
      <c r="A365" s="6">
        <v>1533</v>
      </c>
    </row>
    <row r="366" spans="1:1" x14ac:dyDescent="0.3">
      <c r="A366" s="6">
        <v>399</v>
      </c>
    </row>
    <row r="367" spans="1:1" x14ac:dyDescent="0.3">
      <c r="A367" s="6">
        <v>349</v>
      </c>
    </row>
    <row r="368" spans="1:1" x14ac:dyDescent="0.3">
      <c r="A368" s="6">
        <v>499</v>
      </c>
    </row>
    <row r="369" spans="1:1" x14ac:dyDescent="0.3">
      <c r="A369" s="6">
        <v>499</v>
      </c>
    </row>
    <row r="370" spans="1:1" x14ac:dyDescent="0.3">
      <c r="A370" s="6">
        <v>399</v>
      </c>
    </row>
    <row r="371" spans="1:1" x14ac:dyDescent="0.3">
      <c r="A371" s="6">
        <v>449</v>
      </c>
    </row>
    <row r="372" spans="1:1" x14ac:dyDescent="0.3">
      <c r="A372" s="6">
        <v>499</v>
      </c>
    </row>
    <row r="373" spans="1:1" x14ac:dyDescent="0.3">
      <c r="A373" s="6">
        <v>449</v>
      </c>
    </row>
    <row r="374" spans="1:1" x14ac:dyDescent="0.3">
      <c r="A374" s="6">
        <v>449</v>
      </c>
    </row>
    <row r="375" spans="1:1" x14ac:dyDescent="0.3">
      <c r="A375" s="6">
        <v>449</v>
      </c>
    </row>
    <row r="376" spans="1:1" x14ac:dyDescent="0.3">
      <c r="A376" s="6">
        <v>396</v>
      </c>
    </row>
    <row r="377" spans="1:1" x14ac:dyDescent="0.3">
      <c r="A377" s="6">
        <v>789</v>
      </c>
    </row>
    <row r="378" spans="1:1" x14ac:dyDescent="0.3">
      <c r="A378" s="6">
        <v>299</v>
      </c>
    </row>
    <row r="379" spans="1:1" x14ac:dyDescent="0.3">
      <c r="A379" s="6">
        <v>499</v>
      </c>
    </row>
    <row r="380" spans="1:1" x14ac:dyDescent="0.3">
      <c r="A380" s="6">
        <v>555</v>
      </c>
    </row>
    <row r="381" spans="1:1" x14ac:dyDescent="0.3">
      <c r="A381" s="6">
        <v>449</v>
      </c>
    </row>
    <row r="382" spans="1:1" x14ac:dyDescent="0.3">
      <c r="A382" s="6">
        <v>399</v>
      </c>
    </row>
    <row r="383" spans="1:1" x14ac:dyDescent="0.3">
      <c r="A383" s="6">
        <v>419</v>
      </c>
    </row>
    <row r="384" spans="1:1" x14ac:dyDescent="0.3">
      <c r="A384" s="6">
        <v>595</v>
      </c>
    </row>
    <row r="385" spans="1:1" x14ac:dyDescent="0.3">
      <c r="A385" s="6">
        <v>449</v>
      </c>
    </row>
    <row r="386" spans="1:1" x14ac:dyDescent="0.3">
      <c r="A386" s="6">
        <v>449</v>
      </c>
    </row>
    <row r="387" spans="1:1" x14ac:dyDescent="0.3">
      <c r="A387" s="6">
        <v>349</v>
      </c>
    </row>
    <row r="388" spans="1:1" x14ac:dyDescent="0.3">
      <c r="A388" s="6">
        <v>425</v>
      </c>
    </row>
    <row r="389" spans="1:1" x14ac:dyDescent="0.3">
      <c r="A389" s="6">
        <v>499</v>
      </c>
    </row>
    <row r="390" spans="1:1" x14ac:dyDescent="0.3">
      <c r="A390" s="6">
        <v>449</v>
      </c>
    </row>
    <row r="391" spans="1:1" x14ac:dyDescent="0.3">
      <c r="A391" s="6">
        <v>999</v>
      </c>
    </row>
    <row r="392" spans="1:1" x14ac:dyDescent="0.3">
      <c r="A392" s="6">
        <v>399</v>
      </c>
    </row>
    <row r="393" spans="1:1" x14ac:dyDescent="0.3">
      <c r="A393" s="6">
        <v>349</v>
      </c>
    </row>
    <row r="394" spans="1:1" x14ac:dyDescent="0.3">
      <c r="A394" s="6">
        <v>625</v>
      </c>
    </row>
    <row r="395" spans="1:1" x14ac:dyDescent="0.3">
      <c r="A395" s="6">
        <v>349</v>
      </c>
    </row>
    <row r="396" spans="1:1" x14ac:dyDescent="0.3">
      <c r="A396" s="6">
        <v>599</v>
      </c>
    </row>
    <row r="397" spans="1:1" x14ac:dyDescent="0.3">
      <c r="A397" s="6">
        <v>699</v>
      </c>
    </row>
    <row r="398" spans="1:1" x14ac:dyDescent="0.3">
      <c r="A398" s="6">
        <v>599</v>
      </c>
    </row>
    <row r="399" spans="1:1" x14ac:dyDescent="0.3">
      <c r="A399" s="6">
        <v>349</v>
      </c>
    </row>
    <row r="400" spans="1:1" x14ac:dyDescent="0.3">
      <c r="A400" s="6">
        <v>999</v>
      </c>
    </row>
    <row r="401" spans="1:1" x14ac:dyDescent="0.3">
      <c r="A401" s="6">
        <v>699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FF4A2-EE45-4BB5-9F8C-EAD8EEB0970D}">
  <dimension ref="A3:B10"/>
  <sheetViews>
    <sheetView workbookViewId="0">
      <selection activeCell="H5" sqref="H5"/>
    </sheetView>
  </sheetViews>
  <sheetFormatPr defaultRowHeight="15.6" x14ac:dyDescent="0.3"/>
  <cols>
    <col min="1" max="1" width="15.09765625" bestFit="1" customWidth="1"/>
    <col min="2" max="2" width="13.5" bestFit="1" customWidth="1"/>
  </cols>
  <sheetData>
    <row r="3" spans="1:2" x14ac:dyDescent="0.3">
      <c r="A3" s="8" t="s">
        <v>1252</v>
      </c>
      <c r="B3" t="s">
        <v>1255</v>
      </c>
    </row>
    <row r="4" spans="1:2" x14ac:dyDescent="0.3">
      <c r="A4" s="9" t="s">
        <v>38</v>
      </c>
      <c r="B4" s="19">
        <v>53</v>
      </c>
    </row>
    <row r="5" spans="1:2" x14ac:dyDescent="0.3">
      <c r="A5" s="9" t="s">
        <v>73</v>
      </c>
      <c r="B5" s="19">
        <v>26</v>
      </c>
    </row>
    <row r="6" spans="1:2" x14ac:dyDescent="0.3">
      <c r="A6" s="9" t="s">
        <v>106</v>
      </c>
      <c r="B6" s="19">
        <v>14</v>
      </c>
    </row>
    <row r="7" spans="1:2" x14ac:dyDescent="0.3">
      <c r="A7" s="9" t="s">
        <v>87</v>
      </c>
      <c r="B7" s="19">
        <v>14</v>
      </c>
    </row>
    <row r="8" spans="1:2" x14ac:dyDescent="0.3">
      <c r="A8" s="9" t="s">
        <v>112</v>
      </c>
      <c r="B8" s="19">
        <v>9</v>
      </c>
    </row>
    <row r="9" spans="1:2" x14ac:dyDescent="0.3">
      <c r="A9" s="9" t="s">
        <v>238</v>
      </c>
      <c r="B9" s="19">
        <v>9</v>
      </c>
    </row>
    <row r="10" spans="1:2" x14ac:dyDescent="0.3">
      <c r="A10" s="9" t="s">
        <v>1253</v>
      </c>
      <c r="B10" s="19">
        <v>125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A3EF3-89CB-4692-9F33-2F5186881412}">
  <dimension ref="A3:B6"/>
  <sheetViews>
    <sheetView workbookViewId="0">
      <selection activeCell="J2" sqref="J2"/>
    </sheetView>
  </sheetViews>
  <sheetFormatPr defaultRowHeight="15.6" x14ac:dyDescent="0.3"/>
  <cols>
    <col min="1" max="1" width="12.296875" bestFit="1" customWidth="1"/>
    <col min="2" max="2" width="13.5" bestFit="1" customWidth="1"/>
  </cols>
  <sheetData>
    <row r="3" spans="1:2" x14ac:dyDescent="0.3">
      <c r="A3" s="8" t="s">
        <v>1252</v>
      </c>
      <c r="B3" t="s">
        <v>1255</v>
      </c>
    </row>
    <row r="4" spans="1:2" x14ac:dyDescent="0.3">
      <c r="A4" s="9" t="s">
        <v>24</v>
      </c>
      <c r="B4" s="19">
        <v>155</v>
      </c>
    </row>
    <row r="5" spans="1:2" x14ac:dyDescent="0.3">
      <c r="A5" s="9" t="s">
        <v>36</v>
      </c>
      <c r="B5" s="19">
        <v>196</v>
      </c>
    </row>
    <row r="6" spans="1:2" x14ac:dyDescent="0.3">
      <c r="A6" s="9" t="s">
        <v>1253</v>
      </c>
      <c r="B6" s="19">
        <v>351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4CA73-60F4-4FC2-96CC-900AF0D7A70B}">
  <dimension ref="A3:B5"/>
  <sheetViews>
    <sheetView workbookViewId="0">
      <selection activeCell="A3" sqref="A3"/>
    </sheetView>
  </sheetViews>
  <sheetFormatPr defaultRowHeight="15.6" x14ac:dyDescent="0.3"/>
  <cols>
    <col min="1" max="1" width="18.69921875" bestFit="1" customWidth="1"/>
    <col min="2" max="2" width="13.5" bestFit="1" customWidth="1"/>
  </cols>
  <sheetData>
    <row r="3" spans="1:2" x14ac:dyDescent="0.3">
      <c r="A3" s="8" t="s">
        <v>1252</v>
      </c>
      <c r="B3" t="s">
        <v>1255</v>
      </c>
    </row>
    <row r="4" spans="1:2" x14ac:dyDescent="0.3">
      <c r="A4" s="9" t="s">
        <v>20</v>
      </c>
      <c r="B4" s="19">
        <v>351</v>
      </c>
    </row>
    <row r="5" spans="1:2" x14ac:dyDescent="0.3">
      <c r="A5" s="9" t="s">
        <v>1253</v>
      </c>
      <c r="B5" s="19">
        <v>351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AFE00-F366-4889-9DE7-F26678BF0852}">
  <dimension ref="A1:A352"/>
  <sheetViews>
    <sheetView workbookViewId="0">
      <selection activeCell="L5" sqref="L5"/>
    </sheetView>
  </sheetViews>
  <sheetFormatPr defaultRowHeight="15.6" x14ac:dyDescent="0.3"/>
  <sheetData>
    <row r="1" spans="1:1" x14ac:dyDescent="0.3">
      <c r="A1" s="4" t="s">
        <v>2</v>
      </c>
    </row>
    <row r="2" spans="1:1" x14ac:dyDescent="0.3">
      <c r="A2" s="6">
        <v>499</v>
      </c>
    </row>
    <row r="3" spans="1:1" x14ac:dyDescent="0.3">
      <c r="A3" s="6">
        <v>599</v>
      </c>
    </row>
    <row r="4" spans="1:1" x14ac:dyDescent="0.3">
      <c r="A4" s="6">
        <v>499</v>
      </c>
    </row>
    <row r="5" spans="1:1" x14ac:dyDescent="0.3">
      <c r="A5" s="6">
        <v>399</v>
      </c>
    </row>
    <row r="6" spans="1:1" x14ac:dyDescent="0.3">
      <c r="A6" s="6">
        <v>398</v>
      </c>
    </row>
    <row r="7" spans="1:1" x14ac:dyDescent="0.3">
      <c r="A7" s="6">
        <v>599</v>
      </c>
    </row>
    <row r="8" spans="1:1" x14ac:dyDescent="0.3">
      <c r="A8" s="6">
        <v>489</v>
      </c>
    </row>
    <row r="9" spans="1:1" x14ac:dyDescent="0.3">
      <c r="A9" s="6">
        <v>499</v>
      </c>
    </row>
    <row r="10" spans="1:1" x14ac:dyDescent="0.3">
      <c r="A10" s="6">
        <v>499</v>
      </c>
    </row>
    <row r="11" spans="1:1" x14ac:dyDescent="0.3">
      <c r="A11" s="6">
        <v>499</v>
      </c>
    </row>
    <row r="12" spans="1:1" x14ac:dyDescent="0.3">
      <c r="A12" s="6">
        <v>299</v>
      </c>
    </row>
    <row r="13" spans="1:1" x14ac:dyDescent="0.3">
      <c r="A13" s="6">
        <v>499</v>
      </c>
    </row>
    <row r="14" spans="1:1" x14ac:dyDescent="0.3">
      <c r="A14" s="6">
        <v>405</v>
      </c>
    </row>
    <row r="15" spans="1:1" x14ac:dyDescent="0.3">
      <c r="A15" s="6">
        <v>499</v>
      </c>
    </row>
    <row r="16" spans="1:1" x14ac:dyDescent="0.3">
      <c r="A16" s="6">
        <v>799</v>
      </c>
    </row>
    <row r="17" spans="1:1" x14ac:dyDescent="0.3">
      <c r="A17" s="6">
        <v>422</v>
      </c>
    </row>
    <row r="18" spans="1:1" x14ac:dyDescent="0.3">
      <c r="A18" s="6">
        <v>449</v>
      </c>
    </row>
    <row r="19" spans="1:1" x14ac:dyDescent="0.3">
      <c r="A19" s="6">
        <v>399</v>
      </c>
    </row>
    <row r="20" spans="1:1" x14ac:dyDescent="0.3">
      <c r="A20" s="6">
        <v>399</v>
      </c>
    </row>
    <row r="21" spans="1:1" x14ac:dyDescent="0.3">
      <c r="A21" s="6">
        <v>399</v>
      </c>
    </row>
    <row r="22" spans="1:1" x14ac:dyDescent="0.3">
      <c r="A22" s="6">
        <v>399</v>
      </c>
    </row>
    <row r="23" spans="1:1" x14ac:dyDescent="0.3">
      <c r="A23" s="6">
        <v>235</v>
      </c>
    </row>
    <row r="24" spans="1:1" x14ac:dyDescent="0.3">
      <c r="A24" s="6">
        <v>299</v>
      </c>
    </row>
    <row r="25" spans="1:1" x14ac:dyDescent="0.3">
      <c r="A25" s="6">
        <v>599</v>
      </c>
    </row>
    <row r="26" spans="1:1" x14ac:dyDescent="0.3">
      <c r="A26" s="6">
        <v>663</v>
      </c>
    </row>
    <row r="27" spans="1:1" x14ac:dyDescent="0.3">
      <c r="A27" s="6">
        <v>399</v>
      </c>
    </row>
    <row r="28" spans="1:1" x14ac:dyDescent="0.3">
      <c r="A28" s="6">
        <v>349</v>
      </c>
    </row>
    <row r="29" spans="1:1" x14ac:dyDescent="0.3">
      <c r="A29" s="6">
        <v>499</v>
      </c>
    </row>
    <row r="30" spans="1:1" x14ac:dyDescent="0.3">
      <c r="A30" s="6">
        <v>299</v>
      </c>
    </row>
    <row r="31" spans="1:1" x14ac:dyDescent="0.3">
      <c r="A31" s="6">
        <v>499</v>
      </c>
    </row>
    <row r="32" spans="1:1" x14ac:dyDescent="0.3">
      <c r="A32" s="6">
        <v>399</v>
      </c>
    </row>
    <row r="33" spans="1:1" x14ac:dyDescent="0.3">
      <c r="A33" s="6">
        <v>489</v>
      </c>
    </row>
    <row r="34" spans="1:1" x14ac:dyDescent="0.3">
      <c r="A34" s="6">
        <v>599</v>
      </c>
    </row>
    <row r="35" spans="1:1" x14ac:dyDescent="0.3">
      <c r="A35" s="6">
        <v>549</v>
      </c>
    </row>
    <row r="36" spans="1:1" x14ac:dyDescent="0.3">
      <c r="A36" s="6">
        <v>299</v>
      </c>
    </row>
    <row r="37" spans="1:1" x14ac:dyDescent="0.3">
      <c r="A37" s="6">
        <v>399</v>
      </c>
    </row>
    <row r="38" spans="1:1" x14ac:dyDescent="0.3">
      <c r="A38" s="6">
        <v>499</v>
      </c>
    </row>
    <row r="39" spans="1:1" x14ac:dyDescent="0.3">
      <c r="A39" s="6">
        <v>599</v>
      </c>
    </row>
    <row r="40" spans="1:1" x14ac:dyDescent="0.3">
      <c r="A40" s="6">
        <v>999</v>
      </c>
    </row>
    <row r="41" spans="1:1" x14ac:dyDescent="0.3">
      <c r="A41" s="6">
        <v>499</v>
      </c>
    </row>
    <row r="42" spans="1:1" x14ac:dyDescent="0.3">
      <c r="A42" s="6">
        <v>299</v>
      </c>
    </row>
    <row r="43" spans="1:1" x14ac:dyDescent="0.3">
      <c r="A43" s="6">
        <v>549</v>
      </c>
    </row>
    <row r="44" spans="1:1" x14ac:dyDescent="0.3">
      <c r="A44" s="6">
        <v>599</v>
      </c>
    </row>
    <row r="45" spans="1:1" x14ac:dyDescent="0.3">
      <c r="A45" s="6">
        <v>399</v>
      </c>
    </row>
    <row r="46" spans="1:1" x14ac:dyDescent="0.3">
      <c r="A46" s="6">
        <v>499</v>
      </c>
    </row>
    <row r="47" spans="1:1" x14ac:dyDescent="0.3">
      <c r="A47" s="6">
        <v>199</v>
      </c>
    </row>
    <row r="48" spans="1:1" x14ac:dyDescent="0.3">
      <c r="A48" s="6">
        <v>499</v>
      </c>
    </row>
    <row r="49" spans="1:1" x14ac:dyDescent="0.3">
      <c r="A49" s="6">
        <v>489</v>
      </c>
    </row>
    <row r="50" spans="1:1" x14ac:dyDescent="0.3">
      <c r="A50" s="6">
        <v>399</v>
      </c>
    </row>
    <row r="51" spans="1:1" x14ac:dyDescent="0.3">
      <c r="A51" s="6">
        <v>904</v>
      </c>
    </row>
    <row r="52" spans="1:1" x14ac:dyDescent="0.3">
      <c r="A52" s="6">
        <v>599</v>
      </c>
    </row>
    <row r="53" spans="1:1" x14ac:dyDescent="0.3">
      <c r="A53" s="6">
        <v>350</v>
      </c>
    </row>
    <row r="54" spans="1:1" x14ac:dyDescent="0.3">
      <c r="A54" s="6">
        <v>299</v>
      </c>
    </row>
    <row r="55" spans="1:1" x14ac:dyDescent="0.3">
      <c r="A55" s="6">
        <v>249</v>
      </c>
    </row>
    <row r="56" spans="1:1" x14ac:dyDescent="0.3">
      <c r="A56" s="6">
        <v>499</v>
      </c>
    </row>
    <row r="57" spans="1:1" x14ac:dyDescent="0.3">
      <c r="A57" s="6">
        <v>599</v>
      </c>
    </row>
    <row r="58" spans="1:1" x14ac:dyDescent="0.3">
      <c r="A58" s="6">
        <v>589</v>
      </c>
    </row>
    <row r="59" spans="1:1" x14ac:dyDescent="0.3">
      <c r="A59" s="6">
        <v>408</v>
      </c>
    </row>
    <row r="60" spans="1:1" x14ac:dyDescent="0.3">
      <c r="A60" s="6">
        <v>398</v>
      </c>
    </row>
    <row r="61" spans="1:1" x14ac:dyDescent="0.3">
      <c r="A61" s="6">
        <v>499</v>
      </c>
    </row>
    <row r="62" spans="1:1" x14ac:dyDescent="0.3">
      <c r="A62" s="6">
        <v>270</v>
      </c>
    </row>
    <row r="63" spans="1:1" x14ac:dyDescent="0.3">
      <c r="A63" s="6">
        <v>249</v>
      </c>
    </row>
    <row r="64" spans="1:1" x14ac:dyDescent="0.3">
      <c r="A64" s="6">
        <v>489</v>
      </c>
    </row>
    <row r="65" spans="1:1" x14ac:dyDescent="0.3">
      <c r="A65" s="6">
        <v>229</v>
      </c>
    </row>
    <row r="66" spans="1:1" x14ac:dyDescent="0.3">
      <c r="A66" s="6">
        <v>399</v>
      </c>
    </row>
    <row r="67" spans="1:1" x14ac:dyDescent="0.3">
      <c r="A67" s="6">
        <v>499</v>
      </c>
    </row>
    <row r="68" spans="1:1" x14ac:dyDescent="0.3">
      <c r="A68" s="6">
        <v>699</v>
      </c>
    </row>
    <row r="69" spans="1:1" x14ac:dyDescent="0.3">
      <c r="A69" s="6">
        <v>499</v>
      </c>
    </row>
    <row r="70" spans="1:1" x14ac:dyDescent="0.3">
      <c r="A70" s="6">
        <v>339</v>
      </c>
    </row>
    <row r="71" spans="1:1" x14ac:dyDescent="0.3">
      <c r="A71" s="6">
        <v>399</v>
      </c>
    </row>
    <row r="72" spans="1:1" x14ac:dyDescent="0.3">
      <c r="A72" s="6">
        <v>499</v>
      </c>
    </row>
    <row r="73" spans="1:1" x14ac:dyDescent="0.3">
      <c r="A73" s="6">
        <v>399</v>
      </c>
    </row>
    <row r="74" spans="1:1" x14ac:dyDescent="0.3">
      <c r="A74" s="6">
        <v>250</v>
      </c>
    </row>
    <row r="75" spans="1:1" x14ac:dyDescent="0.3">
      <c r="A75" s="6">
        <v>599</v>
      </c>
    </row>
    <row r="76" spans="1:1" x14ac:dyDescent="0.3">
      <c r="A76" s="6">
        <v>399</v>
      </c>
    </row>
    <row r="77" spans="1:1" x14ac:dyDescent="0.3">
      <c r="A77" s="6">
        <v>599</v>
      </c>
    </row>
    <row r="78" spans="1:1" x14ac:dyDescent="0.3">
      <c r="A78" s="6">
        <v>799</v>
      </c>
    </row>
    <row r="79" spans="1:1" x14ac:dyDescent="0.3">
      <c r="A79" s="6">
        <v>432</v>
      </c>
    </row>
    <row r="80" spans="1:1" x14ac:dyDescent="0.3">
      <c r="A80" s="6">
        <v>499</v>
      </c>
    </row>
    <row r="81" spans="1:1" x14ac:dyDescent="0.3">
      <c r="A81" s="6">
        <v>153</v>
      </c>
    </row>
    <row r="82" spans="1:1" x14ac:dyDescent="0.3">
      <c r="A82" s="6">
        <v>999</v>
      </c>
    </row>
    <row r="83" spans="1:1" x14ac:dyDescent="0.3">
      <c r="A83" s="6">
        <v>499</v>
      </c>
    </row>
    <row r="84" spans="1:1" x14ac:dyDescent="0.3">
      <c r="A84" s="6">
        <v>499</v>
      </c>
    </row>
    <row r="85" spans="1:1" x14ac:dyDescent="0.3">
      <c r="A85" s="6">
        <v>299</v>
      </c>
    </row>
    <row r="86" spans="1:1" x14ac:dyDescent="0.3">
      <c r="A86" s="6">
        <v>599</v>
      </c>
    </row>
    <row r="87" spans="1:1" x14ac:dyDescent="0.3">
      <c r="A87" s="6">
        <v>376</v>
      </c>
    </row>
    <row r="88" spans="1:1" x14ac:dyDescent="0.3">
      <c r="A88" s="6">
        <v>299</v>
      </c>
    </row>
    <row r="89" spans="1:1" x14ac:dyDescent="0.3">
      <c r="A89" s="6">
        <v>599</v>
      </c>
    </row>
    <row r="90" spans="1:1" x14ac:dyDescent="0.3">
      <c r="A90" s="6">
        <v>419</v>
      </c>
    </row>
    <row r="91" spans="1:1" x14ac:dyDescent="0.3">
      <c r="A91" s="6">
        <v>399</v>
      </c>
    </row>
    <row r="92" spans="1:1" x14ac:dyDescent="0.3">
      <c r="A92" s="6">
        <v>598</v>
      </c>
    </row>
    <row r="93" spans="1:1" x14ac:dyDescent="0.3">
      <c r="A93" s="6">
        <v>299</v>
      </c>
    </row>
    <row r="94" spans="1:1" x14ac:dyDescent="0.3">
      <c r="A94" s="6">
        <v>499</v>
      </c>
    </row>
    <row r="95" spans="1:1" x14ac:dyDescent="0.3">
      <c r="A95" s="6">
        <v>398</v>
      </c>
    </row>
    <row r="96" spans="1:1" x14ac:dyDescent="0.3">
      <c r="A96" s="6">
        <v>313</v>
      </c>
    </row>
    <row r="97" spans="1:1" x14ac:dyDescent="0.3">
      <c r="A97" s="6">
        <v>399</v>
      </c>
    </row>
    <row r="98" spans="1:1" x14ac:dyDescent="0.3">
      <c r="A98" s="6">
        <v>599</v>
      </c>
    </row>
    <row r="99" spans="1:1" x14ac:dyDescent="0.3">
      <c r="A99" s="6">
        <v>1000</v>
      </c>
    </row>
    <row r="100" spans="1:1" x14ac:dyDescent="0.3">
      <c r="A100" s="6">
        <v>499</v>
      </c>
    </row>
    <row r="101" spans="1:1" x14ac:dyDescent="0.3">
      <c r="A101" s="6">
        <v>299</v>
      </c>
    </row>
    <row r="102" spans="1:1" x14ac:dyDescent="0.3">
      <c r="A102" s="6">
        <v>499</v>
      </c>
    </row>
    <row r="103" spans="1:1" x14ac:dyDescent="0.3">
      <c r="A103" s="6">
        <v>492</v>
      </c>
    </row>
    <row r="104" spans="1:1" x14ac:dyDescent="0.3">
      <c r="A104" s="6">
        <v>399</v>
      </c>
    </row>
    <row r="105" spans="1:1" x14ac:dyDescent="0.3">
      <c r="A105" s="6">
        <v>599</v>
      </c>
    </row>
    <row r="106" spans="1:1" x14ac:dyDescent="0.3">
      <c r="A106" s="6">
        <v>499</v>
      </c>
    </row>
    <row r="107" spans="1:1" x14ac:dyDescent="0.3">
      <c r="A107" s="6">
        <v>899</v>
      </c>
    </row>
    <row r="108" spans="1:1" x14ac:dyDescent="0.3">
      <c r="A108" s="6">
        <v>499</v>
      </c>
    </row>
    <row r="109" spans="1:1" x14ac:dyDescent="0.3">
      <c r="A109" s="6">
        <v>499</v>
      </c>
    </row>
    <row r="110" spans="1:1" x14ac:dyDescent="0.3">
      <c r="A110" s="6">
        <v>498</v>
      </c>
    </row>
    <row r="111" spans="1:1" x14ac:dyDescent="0.3">
      <c r="A111" s="6">
        <v>599</v>
      </c>
    </row>
    <row r="112" spans="1:1" x14ac:dyDescent="0.3">
      <c r="A112" s="6">
        <v>499</v>
      </c>
    </row>
    <row r="113" spans="1:1" x14ac:dyDescent="0.3">
      <c r="A113" s="6">
        <v>500</v>
      </c>
    </row>
    <row r="114" spans="1:1" x14ac:dyDescent="0.3">
      <c r="A114" s="6">
        <v>489</v>
      </c>
    </row>
    <row r="115" spans="1:1" x14ac:dyDescent="0.3">
      <c r="A115" s="6">
        <v>399</v>
      </c>
    </row>
    <row r="116" spans="1:1" x14ac:dyDescent="0.3">
      <c r="A116" s="6">
        <v>1200</v>
      </c>
    </row>
    <row r="117" spans="1:1" x14ac:dyDescent="0.3">
      <c r="A117" s="6">
        <v>499</v>
      </c>
    </row>
    <row r="118" spans="1:1" x14ac:dyDescent="0.3">
      <c r="A118" s="6">
        <v>299</v>
      </c>
    </row>
    <row r="119" spans="1:1" x14ac:dyDescent="0.3">
      <c r="A119" s="6">
        <v>299</v>
      </c>
    </row>
    <row r="120" spans="1:1" x14ac:dyDescent="0.3">
      <c r="A120" s="6">
        <v>499</v>
      </c>
    </row>
    <row r="121" spans="1:1" x14ac:dyDescent="0.3">
      <c r="A121" s="6">
        <v>399</v>
      </c>
    </row>
    <row r="122" spans="1:1" x14ac:dyDescent="0.3">
      <c r="A122" s="6">
        <v>249</v>
      </c>
    </row>
    <row r="123" spans="1:1" x14ac:dyDescent="0.3">
      <c r="A123" s="6">
        <v>499</v>
      </c>
    </row>
    <row r="124" spans="1:1" x14ac:dyDescent="0.3">
      <c r="A124" s="6">
        <v>399</v>
      </c>
    </row>
    <row r="125" spans="1:1" x14ac:dyDescent="0.3">
      <c r="A125" s="6">
        <v>299</v>
      </c>
    </row>
    <row r="126" spans="1:1" x14ac:dyDescent="0.3">
      <c r="A126" s="6">
        <v>499</v>
      </c>
    </row>
    <row r="127" spans="1:1" x14ac:dyDescent="0.3">
      <c r="A127" s="6">
        <v>599</v>
      </c>
    </row>
    <row r="128" spans="1:1" x14ac:dyDescent="0.3">
      <c r="A128" s="6">
        <v>399</v>
      </c>
    </row>
    <row r="129" spans="1:1" x14ac:dyDescent="0.3">
      <c r="A129" s="6">
        <v>499</v>
      </c>
    </row>
    <row r="130" spans="1:1" x14ac:dyDescent="0.3">
      <c r="A130" s="6">
        <v>599</v>
      </c>
    </row>
    <row r="131" spans="1:1" x14ac:dyDescent="0.3">
      <c r="A131" s="6">
        <v>499</v>
      </c>
    </row>
    <row r="132" spans="1:1" x14ac:dyDescent="0.3">
      <c r="A132" s="6">
        <v>599</v>
      </c>
    </row>
    <row r="133" spans="1:1" x14ac:dyDescent="0.3">
      <c r="A133" s="6">
        <v>499</v>
      </c>
    </row>
    <row r="134" spans="1:1" x14ac:dyDescent="0.3">
      <c r="A134" s="6">
        <v>499</v>
      </c>
    </row>
    <row r="135" spans="1:1" x14ac:dyDescent="0.3">
      <c r="A135" s="6">
        <v>499</v>
      </c>
    </row>
    <row r="136" spans="1:1" x14ac:dyDescent="0.3">
      <c r="A136" s="6">
        <v>799</v>
      </c>
    </row>
    <row r="137" spans="1:1" x14ac:dyDescent="0.3">
      <c r="A137" s="6">
        <v>489</v>
      </c>
    </row>
    <row r="138" spans="1:1" x14ac:dyDescent="0.3">
      <c r="A138" s="6">
        <v>598</v>
      </c>
    </row>
    <row r="139" spans="1:1" x14ac:dyDescent="0.3">
      <c r="A139" s="6">
        <v>399</v>
      </c>
    </row>
    <row r="140" spans="1:1" x14ac:dyDescent="0.3">
      <c r="A140" s="6">
        <v>499</v>
      </c>
    </row>
    <row r="141" spans="1:1" x14ac:dyDescent="0.3">
      <c r="A141" s="6">
        <v>299</v>
      </c>
    </row>
    <row r="142" spans="1:1" x14ac:dyDescent="0.3">
      <c r="A142" s="6">
        <v>349</v>
      </c>
    </row>
    <row r="143" spans="1:1" x14ac:dyDescent="0.3">
      <c r="A143" s="6">
        <v>599</v>
      </c>
    </row>
    <row r="144" spans="1:1" x14ac:dyDescent="0.3">
      <c r="A144" s="6">
        <v>399</v>
      </c>
    </row>
    <row r="145" spans="1:1" x14ac:dyDescent="0.3">
      <c r="A145" s="6">
        <v>298</v>
      </c>
    </row>
    <row r="146" spans="1:1" x14ac:dyDescent="0.3">
      <c r="A146" s="6">
        <v>280</v>
      </c>
    </row>
    <row r="147" spans="1:1" x14ac:dyDescent="0.3">
      <c r="A147" s="6">
        <v>305</v>
      </c>
    </row>
    <row r="148" spans="1:1" x14ac:dyDescent="0.3">
      <c r="A148" s="6">
        <v>399</v>
      </c>
    </row>
    <row r="149" spans="1:1" x14ac:dyDescent="0.3">
      <c r="A149" s="6">
        <v>247</v>
      </c>
    </row>
    <row r="150" spans="1:1" x14ac:dyDescent="0.3">
      <c r="A150" s="6">
        <v>450</v>
      </c>
    </row>
    <row r="151" spans="1:1" x14ac:dyDescent="0.3">
      <c r="A151" s="6">
        <v>439</v>
      </c>
    </row>
    <row r="152" spans="1:1" x14ac:dyDescent="0.3">
      <c r="A152" s="6">
        <v>599</v>
      </c>
    </row>
    <row r="153" spans="1:1" x14ac:dyDescent="0.3">
      <c r="A153" s="6">
        <v>399</v>
      </c>
    </row>
    <row r="154" spans="1:1" x14ac:dyDescent="0.3">
      <c r="A154" s="6">
        <v>298</v>
      </c>
    </row>
    <row r="155" spans="1:1" x14ac:dyDescent="0.3">
      <c r="A155" s="6">
        <v>499</v>
      </c>
    </row>
    <row r="156" spans="1:1" x14ac:dyDescent="0.3">
      <c r="A156" s="6">
        <v>499</v>
      </c>
    </row>
    <row r="157" spans="1:1" x14ac:dyDescent="0.3">
      <c r="A157" s="6">
        <v>389</v>
      </c>
    </row>
    <row r="158" spans="1:1" x14ac:dyDescent="0.3">
      <c r="A158" s="6">
        <v>399</v>
      </c>
    </row>
    <row r="159" spans="1:1" x14ac:dyDescent="0.3">
      <c r="A159" s="6">
        <v>499</v>
      </c>
    </row>
    <row r="160" spans="1:1" x14ac:dyDescent="0.3">
      <c r="A160" s="6">
        <v>599</v>
      </c>
    </row>
    <row r="161" spans="1:1" x14ac:dyDescent="0.3">
      <c r="A161" s="6">
        <v>499</v>
      </c>
    </row>
    <row r="162" spans="1:1" x14ac:dyDescent="0.3">
      <c r="A162" s="6">
        <v>499</v>
      </c>
    </row>
    <row r="163" spans="1:1" x14ac:dyDescent="0.3">
      <c r="A163" s="6">
        <v>251</v>
      </c>
    </row>
    <row r="164" spans="1:1" x14ac:dyDescent="0.3">
      <c r="A164" s="6">
        <v>499</v>
      </c>
    </row>
    <row r="165" spans="1:1" x14ac:dyDescent="0.3">
      <c r="A165" s="6">
        <v>425</v>
      </c>
    </row>
    <row r="166" spans="1:1" x14ac:dyDescent="0.3">
      <c r="A166" s="6">
        <v>399</v>
      </c>
    </row>
    <row r="167" spans="1:1" x14ac:dyDescent="0.3">
      <c r="A167" s="6">
        <v>849</v>
      </c>
    </row>
    <row r="168" spans="1:1" x14ac:dyDescent="0.3">
      <c r="A168" s="6">
        <v>384</v>
      </c>
    </row>
    <row r="169" spans="1:1" x14ac:dyDescent="0.3">
      <c r="A169" s="6">
        <v>599</v>
      </c>
    </row>
    <row r="170" spans="1:1" x14ac:dyDescent="0.3">
      <c r="A170" s="6">
        <v>299</v>
      </c>
    </row>
    <row r="171" spans="1:1" x14ac:dyDescent="0.3">
      <c r="A171" s="6">
        <v>499</v>
      </c>
    </row>
    <row r="172" spans="1:1" x14ac:dyDescent="0.3">
      <c r="A172" s="6">
        <v>1200</v>
      </c>
    </row>
    <row r="173" spans="1:1" x14ac:dyDescent="0.3">
      <c r="A173" s="6">
        <v>599</v>
      </c>
    </row>
    <row r="174" spans="1:1" x14ac:dyDescent="0.3">
      <c r="A174" s="6">
        <v>799</v>
      </c>
    </row>
    <row r="175" spans="1:1" x14ac:dyDescent="0.3">
      <c r="A175" s="6">
        <v>299</v>
      </c>
    </row>
    <row r="176" spans="1:1" x14ac:dyDescent="0.3">
      <c r="A176" s="6">
        <v>449</v>
      </c>
    </row>
    <row r="177" spans="1:1" x14ac:dyDescent="0.3">
      <c r="A177" s="6">
        <v>499</v>
      </c>
    </row>
    <row r="178" spans="1:1" x14ac:dyDescent="0.3">
      <c r="A178" s="6">
        <v>1200</v>
      </c>
    </row>
    <row r="179" spans="1:1" x14ac:dyDescent="0.3">
      <c r="A179" s="6">
        <v>295</v>
      </c>
    </row>
    <row r="180" spans="1:1" x14ac:dyDescent="0.3">
      <c r="A180" s="6">
        <v>399</v>
      </c>
    </row>
    <row r="181" spans="1:1" x14ac:dyDescent="0.3">
      <c r="A181" s="6">
        <v>599</v>
      </c>
    </row>
    <row r="182" spans="1:1" x14ac:dyDescent="0.3">
      <c r="A182" s="6">
        <v>1399</v>
      </c>
    </row>
    <row r="183" spans="1:1" x14ac:dyDescent="0.3">
      <c r="A183" s="6">
        <v>399</v>
      </c>
    </row>
    <row r="184" spans="1:1" x14ac:dyDescent="0.3">
      <c r="A184" s="6">
        <v>499</v>
      </c>
    </row>
    <row r="185" spans="1:1" x14ac:dyDescent="0.3">
      <c r="A185" s="6">
        <v>349</v>
      </c>
    </row>
    <row r="186" spans="1:1" x14ac:dyDescent="0.3">
      <c r="A186" s="6">
        <v>788</v>
      </c>
    </row>
    <row r="187" spans="1:1" x14ac:dyDescent="0.3">
      <c r="A187" s="6">
        <v>449</v>
      </c>
    </row>
    <row r="188" spans="1:1" x14ac:dyDescent="0.3">
      <c r="A188" s="6">
        <v>749</v>
      </c>
    </row>
    <row r="189" spans="1:1" x14ac:dyDescent="0.3">
      <c r="A189" s="6">
        <v>494</v>
      </c>
    </row>
    <row r="190" spans="1:1" x14ac:dyDescent="0.3">
      <c r="A190" s="6">
        <v>499</v>
      </c>
    </row>
    <row r="191" spans="1:1" x14ac:dyDescent="0.3">
      <c r="A191" s="6">
        <v>349</v>
      </c>
    </row>
    <row r="192" spans="1:1" x14ac:dyDescent="0.3">
      <c r="A192" s="6">
        <v>999</v>
      </c>
    </row>
    <row r="193" spans="1:1" x14ac:dyDescent="0.3">
      <c r="A193" s="6">
        <v>799</v>
      </c>
    </row>
    <row r="194" spans="1:1" x14ac:dyDescent="0.3">
      <c r="A194" s="6">
        <v>766</v>
      </c>
    </row>
    <row r="195" spans="1:1" x14ac:dyDescent="0.3">
      <c r="A195" s="6">
        <v>399</v>
      </c>
    </row>
    <row r="196" spans="1:1" x14ac:dyDescent="0.3">
      <c r="A196" s="6">
        <v>499</v>
      </c>
    </row>
    <row r="197" spans="1:1" x14ac:dyDescent="0.3">
      <c r="A197" s="6">
        <v>499</v>
      </c>
    </row>
    <row r="198" spans="1:1" x14ac:dyDescent="0.3">
      <c r="A198" s="6">
        <v>499</v>
      </c>
    </row>
    <row r="199" spans="1:1" x14ac:dyDescent="0.3">
      <c r="A199" s="6">
        <v>419</v>
      </c>
    </row>
    <row r="200" spans="1:1" x14ac:dyDescent="0.3">
      <c r="A200" s="6">
        <v>499</v>
      </c>
    </row>
    <row r="201" spans="1:1" x14ac:dyDescent="0.3">
      <c r="A201" s="6">
        <v>499</v>
      </c>
    </row>
    <row r="202" spans="1:1" x14ac:dyDescent="0.3">
      <c r="A202" s="6">
        <v>199</v>
      </c>
    </row>
    <row r="203" spans="1:1" x14ac:dyDescent="0.3">
      <c r="A203" s="6">
        <v>399</v>
      </c>
    </row>
    <row r="204" spans="1:1" x14ac:dyDescent="0.3">
      <c r="A204" s="6">
        <v>350</v>
      </c>
    </row>
    <row r="205" spans="1:1" x14ac:dyDescent="0.3">
      <c r="A205" s="6">
        <v>499</v>
      </c>
    </row>
    <row r="206" spans="1:1" x14ac:dyDescent="0.3">
      <c r="A206" s="6">
        <v>400</v>
      </c>
    </row>
    <row r="207" spans="1:1" x14ac:dyDescent="0.3">
      <c r="A207" s="6">
        <v>386</v>
      </c>
    </row>
    <row r="208" spans="1:1" x14ac:dyDescent="0.3">
      <c r="A208" s="6">
        <v>599</v>
      </c>
    </row>
    <row r="209" spans="1:1" x14ac:dyDescent="0.3">
      <c r="A209" s="6">
        <v>449</v>
      </c>
    </row>
    <row r="210" spans="1:1" x14ac:dyDescent="0.3">
      <c r="A210" s="6">
        <v>1500</v>
      </c>
    </row>
    <row r="211" spans="1:1" x14ac:dyDescent="0.3">
      <c r="A211" s="6">
        <v>489</v>
      </c>
    </row>
    <row r="212" spans="1:1" x14ac:dyDescent="0.3">
      <c r="A212" s="6">
        <v>399</v>
      </c>
    </row>
    <row r="213" spans="1:1" x14ac:dyDescent="0.3">
      <c r="A213" s="6">
        <v>349</v>
      </c>
    </row>
    <row r="214" spans="1:1" x14ac:dyDescent="0.3">
      <c r="A214" s="6">
        <v>599</v>
      </c>
    </row>
    <row r="215" spans="1:1" x14ac:dyDescent="0.3">
      <c r="A215" s="6">
        <v>699</v>
      </c>
    </row>
    <row r="216" spans="1:1" x14ac:dyDescent="0.3">
      <c r="A216" s="6">
        <v>442</v>
      </c>
    </row>
    <row r="217" spans="1:1" x14ac:dyDescent="0.3">
      <c r="A217" s="6">
        <v>499</v>
      </c>
    </row>
    <row r="218" spans="1:1" x14ac:dyDescent="0.3">
      <c r="A218" s="6">
        <v>499</v>
      </c>
    </row>
    <row r="219" spans="1:1" x14ac:dyDescent="0.3">
      <c r="A219" s="6">
        <v>499</v>
      </c>
    </row>
    <row r="220" spans="1:1" x14ac:dyDescent="0.3">
      <c r="A220" s="6">
        <v>499</v>
      </c>
    </row>
    <row r="221" spans="1:1" x14ac:dyDescent="0.3">
      <c r="A221" s="6">
        <v>890</v>
      </c>
    </row>
    <row r="222" spans="1:1" x14ac:dyDescent="0.3">
      <c r="A222" s="6">
        <v>499</v>
      </c>
    </row>
    <row r="223" spans="1:1" x14ac:dyDescent="0.3">
      <c r="A223" s="6">
        <v>399</v>
      </c>
    </row>
    <row r="224" spans="1:1" x14ac:dyDescent="0.3">
      <c r="A224" s="6">
        <v>190</v>
      </c>
    </row>
    <row r="225" spans="1:1" x14ac:dyDescent="0.3">
      <c r="A225" s="6">
        <v>1033</v>
      </c>
    </row>
    <row r="226" spans="1:1" x14ac:dyDescent="0.3">
      <c r="A226" s="6">
        <v>599</v>
      </c>
    </row>
    <row r="227" spans="1:1" x14ac:dyDescent="0.3">
      <c r="A227" s="6">
        <v>699</v>
      </c>
    </row>
    <row r="228" spans="1:1" x14ac:dyDescent="0.3">
      <c r="A228" s="6">
        <v>349</v>
      </c>
    </row>
    <row r="229" spans="1:1" x14ac:dyDescent="0.3">
      <c r="A229" s="6">
        <v>399</v>
      </c>
    </row>
    <row r="230" spans="1:1" x14ac:dyDescent="0.3">
      <c r="A230" s="6">
        <v>599</v>
      </c>
    </row>
    <row r="231" spans="1:1" x14ac:dyDescent="0.3">
      <c r="A231" s="6">
        <v>599</v>
      </c>
    </row>
    <row r="232" spans="1:1" x14ac:dyDescent="0.3">
      <c r="A232" s="6">
        <v>349</v>
      </c>
    </row>
    <row r="233" spans="1:1" x14ac:dyDescent="0.3">
      <c r="A233" s="6">
        <v>599</v>
      </c>
    </row>
    <row r="234" spans="1:1" x14ac:dyDescent="0.3">
      <c r="A234" s="6">
        <v>299</v>
      </c>
    </row>
    <row r="235" spans="1:1" x14ac:dyDescent="0.3">
      <c r="A235" s="6">
        <v>489</v>
      </c>
    </row>
    <row r="236" spans="1:1" x14ac:dyDescent="0.3">
      <c r="A236" s="6">
        <v>299</v>
      </c>
    </row>
    <row r="237" spans="1:1" x14ac:dyDescent="0.3">
      <c r="A237" s="6">
        <v>499</v>
      </c>
    </row>
    <row r="238" spans="1:1" x14ac:dyDescent="0.3">
      <c r="A238" s="6">
        <v>200</v>
      </c>
    </row>
    <row r="239" spans="1:1" x14ac:dyDescent="0.3">
      <c r="A239" s="6">
        <v>499</v>
      </c>
    </row>
    <row r="240" spans="1:1" x14ac:dyDescent="0.3">
      <c r="A240" s="6">
        <v>1000</v>
      </c>
    </row>
    <row r="241" spans="1:1" x14ac:dyDescent="0.3">
      <c r="A241" s="6">
        <v>499</v>
      </c>
    </row>
    <row r="242" spans="1:1" x14ac:dyDescent="0.3">
      <c r="A242" s="6">
        <v>200</v>
      </c>
    </row>
    <row r="243" spans="1:1" x14ac:dyDescent="0.3">
      <c r="A243" s="6">
        <v>595</v>
      </c>
    </row>
    <row r="244" spans="1:1" x14ac:dyDescent="0.3">
      <c r="A244" s="6">
        <v>499</v>
      </c>
    </row>
    <row r="245" spans="1:1" x14ac:dyDescent="0.3">
      <c r="A245" s="6">
        <v>449</v>
      </c>
    </row>
    <row r="246" spans="1:1" x14ac:dyDescent="0.3">
      <c r="A246" s="6">
        <v>499</v>
      </c>
    </row>
    <row r="247" spans="1:1" x14ac:dyDescent="0.3">
      <c r="A247" s="6">
        <v>299</v>
      </c>
    </row>
    <row r="248" spans="1:1" x14ac:dyDescent="0.3">
      <c r="A248" s="6">
        <v>489</v>
      </c>
    </row>
    <row r="249" spans="1:1" x14ac:dyDescent="0.3">
      <c r="A249" s="6">
        <v>599</v>
      </c>
    </row>
    <row r="250" spans="1:1" x14ac:dyDescent="0.3">
      <c r="A250" s="6">
        <v>299</v>
      </c>
    </row>
    <row r="251" spans="1:1" x14ac:dyDescent="0.3">
      <c r="A251" s="6">
        <v>625</v>
      </c>
    </row>
    <row r="252" spans="1:1" x14ac:dyDescent="0.3">
      <c r="A252" s="6">
        <v>499</v>
      </c>
    </row>
    <row r="253" spans="1:1" x14ac:dyDescent="0.3">
      <c r="A253" s="6">
        <v>499</v>
      </c>
    </row>
    <row r="254" spans="1:1" x14ac:dyDescent="0.3">
      <c r="A254" s="6">
        <v>399</v>
      </c>
    </row>
    <row r="255" spans="1:1" x14ac:dyDescent="0.3">
      <c r="A255" s="6">
        <v>489</v>
      </c>
    </row>
    <row r="256" spans="1:1" x14ac:dyDescent="0.3">
      <c r="A256" s="6">
        <v>399</v>
      </c>
    </row>
    <row r="257" spans="1:1" x14ac:dyDescent="0.3">
      <c r="A257" s="6">
        <v>596</v>
      </c>
    </row>
    <row r="258" spans="1:1" x14ac:dyDescent="0.3">
      <c r="A258" s="6">
        <v>499</v>
      </c>
    </row>
    <row r="259" spans="1:1" x14ac:dyDescent="0.3">
      <c r="A259" s="6">
        <v>499</v>
      </c>
    </row>
    <row r="260" spans="1:1" x14ac:dyDescent="0.3">
      <c r="A260" s="6">
        <v>599</v>
      </c>
    </row>
    <row r="261" spans="1:1" x14ac:dyDescent="0.3">
      <c r="A261" s="6">
        <v>299</v>
      </c>
    </row>
    <row r="262" spans="1:1" x14ac:dyDescent="0.3">
      <c r="A262" s="6">
        <v>349</v>
      </c>
    </row>
    <row r="263" spans="1:1" x14ac:dyDescent="0.3">
      <c r="A263" s="6">
        <v>499</v>
      </c>
    </row>
    <row r="264" spans="1:1" x14ac:dyDescent="0.3">
      <c r="A264" s="6">
        <v>299</v>
      </c>
    </row>
    <row r="265" spans="1:1" x14ac:dyDescent="0.3">
      <c r="A265" s="6">
        <v>449</v>
      </c>
    </row>
    <row r="266" spans="1:1" x14ac:dyDescent="0.3">
      <c r="A266" s="6">
        <v>499</v>
      </c>
    </row>
    <row r="267" spans="1:1" x14ac:dyDescent="0.3">
      <c r="A267" s="6">
        <v>649</v>
      </c>
    </row>
    <row r="268" spans="1:1" x14ac:dyDescent="0.3">
      <c r="A268" s="6">
        <v>320</v>
      </c>
    </row>
    <row r="269" spans="1:1" x14ac:dyDescent="0.3">
      <c r="A269" s="6">
        <v>366</v>
      </c>
    </row>
    <row r="270" spans="1:1" x14ac:dyDescent="0.3">
      <c r="A270" s="6">
        <v>399</v>
      </c>
    </row>
    <row r="271" spans="1:1" x14ac:dyDescent="0.3">
      <c r="A271" s="6">
        <v>499</v>
      </c>
    </row>
    <row r="272" spans="1:1" x14ac:dyDescent="0.3">
      <c r="A272" s="6">
        <v>499</v>
      </c>
    </row>
    <row r="273" spans="1:1" x14ac:dyDescent="0.3">
      <c r="A273" s="6">
        <v>499</v>
      </c>
    </row>
    <row r="274" spans="1:1" x14ac:dyDescent="0.3">
      <c r="A274" s="6">
        <v>499</v>
      </c>
    </row>
    <row r="275" spans="1:1" x14ac:dyDescent="0.3">
      <c r="A275" s="6">
        <v>299</v>
      </c>
    </row>
    <row r="276" spans="1:1" x14ac:dyDescent="0.3">
      <c r="A276" s="6">
        <v>300</v>
      </c>
    </row>
    <row r="277" spans="1:1" x14ac:dyDescent="0.3">
      <c r="A277" s="6">
        <v>346</v>
      </c>
    </row>
    <row r="278" spans="1:1" x14ac:dyDescent="0.3">
      <c r="A278" s="6">
        <v>489</v>
      </c>
    </row>
    <row r="279" spans="1:1" x14ac:dyDescent="0.3">
      <c r="A279" s="6">
        <v>599</v>
      </c>
    </row>
    <row r="280" spans="1:1" x14ac:dyDescent="0.3">
      <c r="A280" s="6">
        <v>399</v>
      </c>
    </row>
    <row r="281" spans="1:1" x14ac:dyDescent="0.3">
      <c r="A281" s="6">
        <v>499</v>
      </c>
    </row>
    <row r="282" spans="1:1" x14ac:dyDescent="0.3">
      <c r="A282" s="6">
        <v>199</v>
      </c>
    </row>
    <row r="283" spans="1:1" x14ac:dyDescent="0.3">
      <c r="A283" s="6">
        <v>599</v>
      </c>
    </row>
    <row r="284" spans="1:1" x14ac:dyDescent="0.3">
      <c r="A284" s="6">
        <v>499</v>
      </c>
    </row>
    <row r="285" spans="1:1" x14ac:dyDescent="0.3">
      <c r="A285" s="6">
        <v>499</v>
      </c>
    </row>
    <row r="286" spans="1:1" x14ac:dyDescent="0.3">
      <c r="A286" s="6">
        <v>699</v>
      </c>
    </row>
    <row r="287" spans="1:1" x14ac:dyDescent="0.3">
      <c r="A287" s="6">
        <v>499</v>
      </c>
    </row>
    <row r="288" spans="1:1" x14ac:dyDescent="0.3">
      <c r="A288" s="6">
        <v>399</v>
      </c>
    </row>
    <row r="289" spans="1:1" x14ac:dyDescent="0.3">
      <c r="A289" s="6">
        <v>499</v>
      </c>
    </row>
    <row r="290" spans="1:1" x14ac:dyDescent="0.3">
      <c r="A290" s="6">
        <v>499</v>
      </c>
    </row>
    <row r="291" spans="1:1" x14ac:dyDescent="0.3">
      <c r="A291" s="6">
        <v>498</v>
      </c>
    </row>
    <row r="292" spans="1:1" x14ac:dyDescent="0.3">
      <c r="A292" s="6">
        <v>299</v>
      </c>
    </row>
    <row r="293" spans="1:1" x14ac:dyDescent="0.3">
      <c r="A293" s="6">
        <v>299</v>
      </c>
    </row>
    <row r="294" spans="1:1" x14ac:dyDescent="0.3">
      <c r="A294" s="6">
        <v>570</v>
      </c>
    </row>
    <row r="295" spans="1:1" x14ac:dyDescent="0.3">
      <c r="A295" s="6">
        <v>599</v>
      </c>
    </row>
    <row r="296" spans="1:1" x14ac:dyDescent="0.3">
      <c r="A296" s="6">
        <v>599</v>
      </c>
    </row>
    <row r="297" spans="1:1" x14ac:dyDescent="0.3">
      <c r="A297" s="6">
        <v>399</v>
      </c>
    </row>
    <row r="298" spans="1:1" x14ac:dyDescent="0.3">
      <c r="A298" s="6">
        <v>499</v>
      </c>
    </row>
    <row r="299" spans="1:1" x14ac:dyDescent="0.3">
      <c r="A299" s="6">
        <v>294</v>
      </c>
    </row>
    <row r="300" spans="1:1" x14ac:dyDescent="0.3">
      <c r="A300" s="6">
        <v>399</v>
      </c>
    </row>
    <row r="301" spans="1:1" x14ac:dyDescent="0.3">
      <c r="A301" s="6">
        <v>399</v>
      </c>
    </row>
    <row r="302" spans="1:1" x14ac:dyDescent="0.3">
      <c r="A302" s="6">
        <v>379</v>
      </c>
    </row>
    <row r="303" spans="1:1" x14ac:dyDescent="0.3">
      <c r="A303" s="6">
        <v>399</v>
      </c>
    </row>
    <row r="304" spans="1:1" x14ac:dyDescent="0.3">
      <c r="A304" s="6">
        <v>359</v>
      </c>
    </row>
    <row r="305" spans="1:1" x14ac:dyDescent="0.3">
      <c r="A305" s="6">
        <v>499</v>
      </c>
    </row>
    <row r="306" spans="1:1" x14ac:dyDescent="0.3">
      <c r="A306" s="6">
        <v>499</v>
      </c>
    </row>
    <row r="307" spans="1:1" x14ac:dyDescent="0.3">
      <c r="A307" s="6">
        <v>299</v>
      </c>
    </row>
    <row r="308" spans="1:1" x14ac:dyDescent="0.3">
      <c r="A308" s="6">
        <v>363</v>
      </c>
    </row>
    <row r="309" spans="1:1" x14ac:dyDescent="0.3">
      <c r="A309" s="6">
        <v>399</v>
      </c>
    </row>
    <row r="310" spans="1:1" x14ac:dyDescent="0.3">
      <c r="A310" s="6">
        <v>699</v>
      </c>
    </row>
    <row r="311" spans="1:1" x14ac:dyDescent="0.3">
      <c r="A311" s="6">
        <v>499</v>
      </c>
    </row>
    <row r="312" spans="1:1" x14ac:dyDescent="0.3">
      <c r="A312" s="6">
        <v>549</v>
      </c>
    </row>
    <row r="313" spans="1:1" x14ac:dyDescent="0.3">
      <c r="A313" s="6">
        <v>999</v>
      </c>
    </row>
    <row r="314" spans="1:1" x14ac:dyDescent="0.3">
      <c r="A314" s="6">
        <v>399</v>
      </c>
    </row>
    <row r="315" spans="1:1" x14ac:dyDescent="0.3">
      <c r="A315" s="6">
        <v>599</v>
      </c>
    </row>
    <row r="316" spans="1:1" x14ac:dyDescent="0.3">
      <c r="A316" s="6">
        <v>599</v>
      </c>
    </row>
    <row r="317" spans="1:1" x14ac:dyDescent="0.3">
      <c r="A317" s="6">
        <v>418</v>
      </c>
    </row>
    <row r="318" spans="1:1" x14ac:dyDescent="0.3">
      <c r="A318" s="6">
        <v>599</v>
      </c>
    </row>
    <row r="319" spans="1:1" x14ac:dyDescent="0.3">
      <c r="A319" s="6">
        <v>590</v>
      </c>
    </row>
    <row r="320" spans="1:1" x14ac:dyDescent="0.3">
      <c r="A320" s="6">
        <v>598</v>
      </c>
    </row>
    <row r="321" spans="1:1" x14ac:dyDescent="0.3">
      <c r="A321" s="6">
        <v>399</v>
      </c>
    </row>
    <row r="322" spans="1:1" x14ac:dyDescent="0.3">
      <c r="A322" s="6">
        <v>259</v>
      </c>
    </row>
    <row r="323" spans="1:1" x14ac:dyDescent="0.3">
      <c r="A323" s="6">
        <v>599</v>
      </c>
    </row>
    <row r="324" spans="1:1" x14ac:dyDescent="0.3">
      <c r="A324" s="6">
        <v>499</v>
      </c>
    </row>
    <row r="325" spans="1:1" x14ac:dyDescent="0.3">
      <c r="A325" s="6">
        <v>599</v>
      </c>
    </row>
    <row r="326" spans="1:1" x14ac:dyDescent="0.3">
      <c r="A326" s="6">
        <v>599</v>
      </c>
    </row>
    <row r="327" spans="1:1" x14ac:dyDescent="0.3">
      <c r="A327" s="6">
        <v>599</v>
      </c>
    </row>
    <row r="328" spans="1:1" x14ac:dyDescent="0.3">
      <c r="A328" s="6">
        <v>349</v>
      </c>
    </row>
    <row r="329" spans="1:1" x14ac:dyDescent="0.3">
      <c r="A329" s="6">
        <v>299</v>
      </c>
    </row>
    <row r="330" spans="1:1" x14ac:dyDescent="0.3">
      <c r="A330" s="6">
        <v>299</v>
      </c>
    </row>
    <row r="331" spans="1:1" x14ac:dyDescent="0.3">
      <c r="A331" s="6">
        <v>600</v>
      </c>
    </row>
    <row r="332" spans="1:1" x14ac:dyDescent="0.3">
      <c r="A332" s="6">
        <v>595</v>
      </c>
    </row>
    <row r="333" spans="1:1" x14ac:dyDescent="0.3">
      <c r="A333" s="6">
        <v>349</v>
      </c>
    </row>
    <row r="334" spans="1:1" x14ac:dyDescent="0.3">
      <c r="A334" s="6">
        <v>421</v>
      </c>
    </row>
    <row r="335" spans="1:1" x14ac:dyDescent="0.3">
      <c r="A335" s="6">
        <v>599</v>
      </c>
    </row>
    <row r="336" spans="1:1" x14ac:dyDescent="0.3">
      <c r="A336" s="6">
        <v>399</v>
      </c>
    </row>
    <row r="337" spans="1:1" x14ac:dyDescent="0.3">
      <c r="A337" s="6">
        <v>349</v>
      </c>
    </row>
    <row r="338" spans="1:1" x14ac:dyDescent="0.3">
      <c r="A338" s="6">
        <v>499</v>
      </c>
    </row>
    <row r="339" spans="1:1" x14ac:dyDescent="0.3">
      <c r="A339" s="6">
        <v>399</v>
      </c>
    </row>
    <row r="340" spans="1:1" x14ac:dyDescent="0.3">
      <c r="A340" s="6">
        <v>499</v>
      </c>
    </row>
    <row r="341" spans="1:1" x14ac:dyDescent="0.3">
      <c r="A341" s="6">
        <v>396</v>
      </c>
    </row>
    <row r="342" spans="1:1" x14ac:dyDescent="0.3">
      <c r="A342" s="6">
        <v>299</v>
      </c>
    </row>
    <row r="343" spans="1:1" x14ac:dyDescent="0.3">
      <c r="A343" s="6">
        <v>499</v>
      </c>
    </row>
    <row r="344" spans="1:1" x14ac:dyDescent="0.3">
      <c r="A344" s="6">
        <v>399</v>
      </c>
    </row>
    <row r="345" spans="1:1" x14ac:dyDescent="0.3">
      <c r="A345" s="6">
        <v>449</v>
      </c>
    </row>
    <row r="346" spans="1:1" x14ac:dyDescent="0.3">
      <c r="A346" s="6">
        <v>349</v>
      </c>
    </row>
    <row r="347" spans="1:1" x14ac:dyDescent="0.3">
      <c r="A347" s="6">
        <v>499</v>
      </c>
    </row>
    <row r="348" spans="1:1" x14ac:dyDescent="0.3">
      <c r="A348" s="6">
        <v>399</v>
      </c>
    </row>
    <row r="349" spans="1:1" x14ac:dyDescent="0.3">
      <c r="A349" s="6">
        <v>349</v>
      </c>
    </row>
    <row r="350" spans="1:1" x14ac:dyDescent="0.3">
      <c r="A350" s="6">
        <v>349</v>
      </c>
    </row>
    <row r="351" spans="1:1" x14ac:dyDescent="0.3">
      <c r="A351" s="6">
        <v>599</v>
      </c>
    </row>
    <row r="352" spans="1:1" x14ac:dyDescent="0.3">
      <c r="A352" s="6">
        <v>349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AA058-ACE7-4A2C-BE56-16BA626C88EB}">
  <dimension ref="A1:B352"/>
  <sheetViews>
    <sheetView workbookViewId="0">
      <selection activeCell="C1" sqref="C1"/>
    </sheetView>
  </sheetViews>
  <sheetFormatPr defaultRowHeight="15.6" x14ac:dyDescent="0.3"/>
  <sheetData>
    <row r="1" spans="1:2" x14ac:dyDescent="0.3">
      <c r="A1" s="2" t="s">
        <v>3</v>
      </c>
      <c r="B1" s="2" t="s">
        <v>4</v>
      </c>
    </row>
    <row r="2" spans="1:2" x14ac:dyDescent="0.3">
      <c r="A2" s="3">
        <v>199</v>
      </c>
      <c r="B2" s="5">
        <v>0.6</v>
      </c>
    </row>
    <row r="3" spans="1:2" x14ac:dyDescent="0.3">
      <c r="A3" s="3">
        <v>130</v>
      </c>
      <c r="B3" s="5">
        <v>0.78</v>
      </c>
    </row>
    <row r="4" spans="1:2" x14ac:dyDescent="0.3">
      <c r="A4" s="3">
        <v>249</v>
      </c>
      <c r="B4" s="5">
        <v>0.5</v>
      </c>
    </row>
    <row r="5" spans="1:2" x14ac:dyDescent="0.3">
      <c r="A5" s="3">
        <v>120</v>
      </c>
      <c r="B5" s="5">
        <v>0.69</v>
      </c>
    </row>
    <row r="6" spans="1:2" x14ac:dyDescent="0.3">
      <c r="A6" s="3">
        <v>124</v>
      </c>
      <c r="B6" s="5">
        <v>0.68</v>
      </c>
    </row>
    <row r="7" spans="1:2" x14ac:dyDescent="0.3">
      <c r="A7" s="3">
        <v>120</v>
      </c>
      <c r="B7" s="5">
        <v>0.79</v>
      </c>
    </row>
    <row r="8" spans="1:2" x14ac:dyDescent="0.3">
      <c r="A8" s="3">
        <v>125</v>
      </c>
      <c r="B8" s="5">
        <v>0.74</v>
      </c>
    </row>
    <row r="9" spans="1:2" x14ac:dyDescent="0.3">
      <c r="A9" s="3">
        <v>135</v>
      </c>
      <c r="B9" s="5">
        <v>0.72</v>
      </c>
    </row>
    <row r="10" spans="1:2" x14ac:dyDescent="0.3">
      <c r="A10" s="3">
        <v>121</v>
      </c>
      <c r="B10" s="5">
        <v>0.75</v>
      </c>
    </row>
    <row r="11" spans="1:2" x14ac:dyDescent="0.3">
      <c r="A11" s="3">
        <v>125</v>
      </c>
      <c r="B11" s="5">
        <v>0.74</v>
      </c>
    </row>
    <row r="12" spans="1:2" x14ac:dyDescent="0.3">
      <c r="A12" s="3">
        <v>130</v>
      </c>
      <c r="B12" s="5">
        <v>0.56000000000000005</v>
      </c>
    </row>
    <row r="13" spans="1:2" x14ac:dyDescent="0.3">
      <c r="A13" s="3">
        <v>128</v>
      </c>
      <c r="B13" s="5">
        <v>0.74</v>
      </c>
    </row>
    <row r="14" spans="1:2" x14ac:dyDescent="0.3">
      <c r="A14" s="3">
        <v>130</v>
      </c>
      <c r="B14" s="5">
        <v>0.67</v>
      </c>
    </row>
    <row r="15" spans="1:2" x14ac:dyDescent="0.3">
      <c r="A15" s="3">
        <v>140</v>
      </c>
      <c r="B15" s="5">
        <v>0.71</v>
      </c>
    </row>
    <row r="16" spans="1:2" x14ac:dyDescent="0.3">
      <c r="A16" s="3">
        <v>126</v>
      </c>
      <c r="B16" s="5">
        <v>0.84</v>
      </c>
    </row>
    <row r="17" spans="1:2" x14ac:dyDescent="0.3">
      <c r="A17" s="3">
        <v>120</v>
      </c>
      <c r="B17" s="5">
        <v>0.71</v>
      </c>
    </row>
    <row r="18" spans="1:2" x14ac:dyDescent="0.3">
      <c r="A18" s="3">
        <v>179</v>
      </c>
      <c r="B18" s="5">
        <v>0.6</v>
      </c>
    </row>
    <row r="19" spans="1:2" x14ac:dyDescent="0.3">
      <c r="A19" s="3">
        <v>186</v>
      </c>
      <c r="B19" s="5">
        <v>0.53</v>
      </c>
    </row>
    <row r="20" spans="1:2" x14ac:dyDescent="0.3">
      <c r="A20" s="3">
        <v>185</v>
      </c>
      <c r="B20" s="5">
        <v>0.53</v>
      </c>
    </row>
    <row r="21" spans="1:2" x14ac:dyDescent="0.3">
      <c r="A21" s="3">
        <v>160</v>
      </c>
      <c r="B21" s="5">
        <v>0.59</v>
      </c>
    </row>
    <row r="22" spans="1:2" x14ac:dyDescent="0.3">
      <c r="A22" s="3">
        <v>119</v>
      </c>
      <c r="B22" s="5">
        <v>0.7</v>
      </c>
    </row>
    <row r="23" spans="1:2" x14ac:dyDescent="0.3">
      <c r="A23" s="3">
        <v>139</v>
      </c>
      <c r="B23" s="5">
        <v>0.4</v>
      </c>
    </row>
    <row r="24" spans="1:2" x14ac:dyDescent="0.3">
      <c r="A24" s="3">
        <v>118</v>
      </c>
      <c r="B24" s="5">
        <v>0.6</v>
      </c>
    </row>
    <row r="25" spans="1:2" x14ac:dyDescent="0.3">
      <c r="A25" s="3">
        <v>149</v>
      </c>
      <c r="B25" s="5">
        <v>0.75</v>
      </c>
    </row>
    <row r="26" spans="1:2" x14ac:dyDescent="0.3">
      <c r="A26" s="3">
        <v>118</v>
      </c>
      <c r="B26" s="5">
        <v>0.82</v>
      </c>
    </row>
    <row r="27" spans="1:2" x14ac:dyDescent="0.3">
      <c r="A27" s="3">
        <v>123</v>
      </c>
      <c r="B27" s="5">
        <v>0.69</v>
      </c>
    </row>
    <row r="28" spans="1:2" x14ac:dyDescent="0.3">
      <c r="A28" s="3">
        <v>126</v>
      </c>
      <c r="B28" s="5">
        <v>0.63</v>
      </c>
    </row>
    <row r="29" spans="1:2" x14ac:dyDescent="0.3">
      <c r="A29" s="3">
        <v>121</v>
      </c>
      <c r="B29" s="5">
        <v>0.75</v>
      </c>
    </row>
    <row r="30" spans="1:2" x14ac:dyDescent="0.3">
      <c r="A30" s="3">
        <v>115</v>
      </c>
      <c r="B30" s="5">
        <v>0.61</v>
      </c>
    </row>
    <row r="31" spans="1:2" x14ac:dyDescent="0.3">
      <c r="A31" s="3">
        <v>140</v>
      </c>
      <c r="B31" s="5">
        <v>0.71</v>
      </c>
    </row>
    <row r="32" spans="1:2" x14ac:dyDescent="0.3">
      <c r="A32" s="3">
        <v>140</v>
      </c>
      <c r="B32" s="5">
        <v>0.64</v>
      </c>
    </row>
    <row r="33" spans="1:2" x14ac:dyDescent="0.3">
      <c r="A33" s="3">
        <v>140</v>
      </c>
      <c r="B33" s="5">
        <v>0.71</v>
      </c>
    </row>
    <row r="34" spans="1:2" x14ac:dyDescent="0.3">
      <c r="A34" s="3">
        <v>123</v>
      </c>
      <c r="B34" s="5">
        <v>0.79</v>
      </c>
    </row>
    <row r="35" spans="1:2" x14ac:dyDescent="0.3">
      <c r="A35" s="3">
        <v>127</v>
      </c>
      <c r="B35" s="5">
        <v>0.76</v>
      </c>
    </row>
    <row r="36" spans="1:2" x14ac:dyDescent="0.3">
      <c r="A36" s="3">
        <v>180</v>
      </c>
      <c r="B36" s="5">
        <v>0.39</v>
      </c>
    </row>
    <row r="37" spans="1:2" x14ac:dyDescent="0.3">
      <c r="A37" s="3">
        <v>130</v>
      </c>
      <c r="B37" s="5">
        <v>0.67</v>
      </c>
    </row>
    <row r="38" spans="1:2" x14ac:dyDescent="0.3">
      <c r="A38" s="3">
        <v>258</v>
      </c>
      <c r="B38" s="5">
        <v>0.48</v>
      </c>
    </row>
    <row r="39" spans="1:2" x14ac:dyDescent="0.3">
      <c r="A39" s="3">
        <v>125</v>
      </c>
      <c r="B39" s="5">
        <v>0.79</v>
      </c>
    </row>
    <row r="40" spans="1:2" x14ac:dyDescent="0.3">
      <c r="A40" s="3">
        <v>125</v>
      </c>
      <c r="B40" s="5">
        <v>0.87</v>
      </c>
    </row>
    <row r="41" spans="1:2" x14ac:dyDescent="0.3">
      <c r="A41" s="3">
        <v>258</v>
      </c>
      <c r="B41" s="5">
        <v>0.48</v>
      </c>
    </row>
    <row r="42" spans="1:2" x14ac:dyDescent="0.3">
      <c r="A42" s="3">
        <v>180</v>
      </c>
      <c r="B42" s="5">
        <v>0.39</v>
      </c>
    </row>
    <row r="43" spans="1:2" x14ac:dyDescent="0.3">
      <c r="A43" s="3">
        <v>127</v>
      </c>
      <c r="B43" s="5">
        <v>0.76</v>
      </c>
    </row>
    <row r="44" spans="1:2" x14ac:dyDescent="0.3">
      <c r="A44" s="3">
        <v>125</v>
      </c>
      <c r="B44" s="5">
        <v>0.79</v>
      </c>
    </row>
    <row r="45" spans="1:2" x14ac:dyDescent="0.3">
      <c r="A45" s="3">
        <v>130</v>
      </c>
      <c r="B45" s="5">
        <v>0.67</v>
      </c>
    </row>
    <row r="46" spans="1:2" x14ac:dyDescent="0.3">
      <c r="A46" s="3">
        <v>189</v>
      </c>
      <c r="B46" s="5">
        <v>0.62</v>
      </c>
    </row>
    <row r="47" spans="1:2" x14ac:dyDescent="0.3">
      <c r="A47" s="3">
        <v>132</v>
      </c>
      <c r="B47" s="5">
        <v>0.33</v>
      </c>
    </row>
    <row r="48" spans="1:2" x14ac:dyDescent="0.3">
      <c r="A48" s="3">
        <v>123</v>
      </c>
      <c r="B48" s="5">
        <v>0.75</v>
      </c>
    </row>
    <row r="49" spans="1:2" x14ac:dyDescent="0.3">
      <c r="A49" s="3">
        <v>165</v>
      </c>
      <c r="B49" s="5">
        <v>0.66</v>
      </c>
    </row>
    <row r="50" spans="1:2" x14ac:dyDescent="0.3">
      <c r="A50" s="3">
        <v>256</v>
      </c>
      <c r="B50" s="5">
        <v>0.35</v>
      </c>
    </row>
    <row r="51" spans="1:2" x14ac:dyDescent="0.3">
      <c r="A51" s="3">
        <v>196</v>
      </c>
      <c r="B51" s="5">
        <v>0.78</v>
      </c>
    </row>
    <row r="52" spans="1:2" x14ac:dyDescent="0.3">
      <c r="A52" s="3">
        <v>125</v>
      </c>
      <c r="B52" s="5">
        <v>0.79</v>
      </c>
    </row>
    <row r="53" spans="1:2" x14ac:dyDescent="0.3">
      <c r="A53" s="3">
        <v>126</v>
      </c>
      <c r="B53" s="5">
        <v>0.64</v>
      </c>
    </row>
    <row r="54" spans="1:2" x14ac:dyDescent="0.3">
      <c r="A54" s="3">
        <v>114</v>
      </c>
      <c r="B54" s="5">
        <v>0.61</v>
      </c>
    </row>
    <row r="55" spans="1:2" x14ac:dyDescent="0.3">
      <c r="A55" s="3">
        <v>120</v>
      </c>
      <c r="B55" s="5">
        <v>0.51</v>
      </c>
    </row>
    <row r="56" spans="1:2" x14ac:dyDescent="0.3">
      <c r="A56" s="3">
        <v>139</v>
      </c>
      <c r="B56" s="5">
        <v>0.72</v>
      </c>
    </row>
    <row r="57" spans="1:2" x14ac:dyDescent="0.3">
      <c r="A57" s="3">
        <v>226</v>
      </c>
      <c r="B57" s="5">
        <v>0.62</v>
      </c>
    </row>
    <row r="58" spans="1:2" x14ac:dyDescent="0.3">
      <c r="A58" s="3">
        <v>125</v>
      </c>
      <c r="B58" s="5">
        <v>0.78</v>
      </c>
    </row>
    <row r="59" spans="1:2" x14ac:dyDescent="0.3">
      <c r="A59" s="3">
        <v>118</v>
      </c>
      <c r="B59" s="5">
        <v>0.71</v>
      </c>
    </row>
    <row r="60" spans="1:2" x14ac:dyDescent="0.3">
      <c r="A60" s="3">
        <v>118</v>
      </c>
      <c r="B60" s="5">
        <v>0.7</v>
      </c>
    </row>
    <row r="61" spans="1:2" x14ac:dyDescent="0.3">
      <c r="A61" s="3">
        <v>149</v>
      </c>
      <c r="B61" s="5">
        <v>0.7</v>
      </c>
    </row>
    <row r="62" spans="1:2" x14ac:dyDescent="0.3">
      <c r="A62" s="3">
        <v>132</v>
      </c>
      <c r="B62" s="5">
        <v>0.51</v>
      </c>
    </row>
    <row r="63" spans="1:2" x14ac:dyDescent="0.3">
      <c r="A63" s="3">
        <v>119</v>
      </c>
      <c r="B63" s="5">
        <v>0.52</v>
      </c>
    </row>
    <row r="64" spans="1:2" x14ac:dyDescent="0.3">
      <c r="A64" s="3">
        <v>149</v>
      </c>
      <c r="B64" s="5">
        <v>0.69</v>
      </c>
    </row>
    <row r="65" spans="1:2" x14ac:dyDescent="0.3">
      <c r="A65" s="3">
        <v>120</v>
      </c>
      <c r="B65" s="5">
        <v>0.47</v>
      </c>
    </row>
    <row r="66" spans="1:2" x14ac:dyDescent="0.3">
      <c r="A66" s="3">
        <v>160</v>
      </c>
      <c r="B66" s="5">
        <v>0.59</v>
      </c>
    </row>
    <row r="67" spans="1:2" x14ac:dyDescent="0.3">
      <c r="A67" s="3">
        <v>135</v>
      </c>
      <c r="B67" s="5">
        <v>0.72</v>
      </c>
    </row>
    <row r="68" spans="1:2" x14ac:dyDescent="0.3">
      <c r="A68" s="3">
        <v>127</v>
      </c>
      <c r="B68" s="5">
        <v>0.81</v>
      </c>
    </row>
    <row r="69" spans="1:2" x14ac:dyDescent="0.3">
      <c r="A69" s="3">
        <v>122</v>
      </c>
      <c r="B69" s="5">
        <v>0.75</v>
      </c>
    </row>
    <row r="70" spans="1:2" x14ac:dyDescent="0.3">
      <c r="A70" s="3">
        <v>115</v>
      </c>
      <c r="B70" s="5">
        <v>0.66</v>
      </c>
    </row>
    <row r="71" spans="1:2" x14ac:dyDescent="0.3">
      <c r="A71" s="3">
        <v>118</v>
      </c>
      <c r="B71" s="5">
        <v>0.7</v>
      </c>
    </row>
    <row r="72" spans="1:2" x14ac:dyDescent="0.3">
      <c r="A72" s="3">
        <v>122</v>
      </c>
      <c r="B72" s="5">
        <v>0.75</v>
      </c>
    </row>
    <row r="73" spans="1:2" x14ac:dyDescent="0.3">
      <c r="A73" s="3">
        <v>125</v>
      </c>
      <c r="B73" s="5">
        <v>0.68</v>
      </c>
    </row>
    <row r="74" spans="1:2" x14ac:dyDescent="0.3">
      <c r="A74" s="3">
        <v>120</v>
      </c>
      <c r="B74" s="5">
        <v>0.52</v>
      </c>
    </row>
    <row r="75" spans="1:2" x14ac:dyDescent="0.3">
      <c r="A75" s="3">
        <v>117</v>
      </c>
      <c r="B75" s="5">
        <v>0.8</v>
      </c>
    </row>
    <row r="76" spans="1:2" x14ac:dyDescent="0.3">
      <c r="A76" s="3">
        <v>134</v>
      </c>
      <c r="B76" s="5">
        <v>0.66</v>
      </c>
    </row>
    <row r="77" spans="1:2" x14ac:dyDescent="0.3">
      <c r="A77" s="3">
        <v>135</v>
      </c>
      <c r="B77" s="5">
        <v>0.77</v>
      </c>
    </row>
    <row r="78" spans="1:2" x14ac:dyDescent="0.3">
      <c r="A78" s="3">
        <v>146</v>
      </c>
      <c r="B78" s="5">
        <v>0.81</v>
      </c>
    </row>
    <row r="79" spans="1:2" x14ac:dyDescent="0.3">
      <c r="A79" s="3">
        <v>135</v>
      </c>
      <c r="B79" s="5">
        <v>0.68</v>
      </c>
    </row>
    <row r="80" spans="1:2" x14ac:dyDescent="0.3">
      <c r="A80" s="3">
        <v>119</v>
      </c>
      <c r="B80" s="5">
        <v>0.76</v>
      </c>
    </row>
    <row r="81" spans="1:2" x14ac:dyDescent="0.3">
      <c r="A81" s="3">
        <v>112</v>
      </c>
      <c r="B81" s="5">
        <v>0.26</v>
      </c>
    </row>
    <row r="82" spans="1:2" x14ac:dyDescent="0.3">
      <c r="A82" s="3">
        <v>146</v>
      </c>
      <c r="B82" s="5">
        <v>0.85</v>
      </c>
    </row>
    <row r="83" spans="1:2" x14ac:dyDescent="0.3">
      <c r="A83" s="3">
        <v>191</v>
      </c>
      <c r="B83" s="5">
        <v>0.61</v>
      </c>
    </row>
    <row r="84" spans="1:2" x14ac:dyDescent="0.3">
      <c r="A84" s="3">
        <v>124</v>
      </c>
      <c r="B84" s="5">
        <v>0.75</v>
      </c>
    </row>
    <row r="85" spans="1:2" x14ac:dyDescent="0.3">
      <c r="A85" s="3">
        <v>161</v>
      </c>
      <c r="B85" s="5">
        <v>0.46</v>
      </c>
    </row>
    <row r="86" spans="1:2" x14ac:dyDescent="0.3">
      <c r="A86" s="3">
        <v>125</v>
      </c>
      <c r="B86" s="5">
        <v>0.79</v>
      </c>
    </row>
    <row r="87" spans="1:2" x14ac:dyDescent="0.3">
      <c r="A87" s="3">
        <v>121</v>
      </c>
      <c r="B87" s="5">
        <v>0.67</v>
      </c>
    </row>
    <row r="88" spans="1:2" x14ac:dyDescent="0.3">
      <c r="A88" s="3">
        <v>189</v>
      </c>
      <c r="B88" s="5">
        <v>0.36</v>
      </c>
    </row>
    <row r="89" spans="1:2" x14ac:dyDescent="0.3">
      <c r="A89" s="3">
        <v>220</v>
      </c>
      <c r="B89" s="5">
        <v>0.63</v>
      </c>
    </row>
    <row r="90" spans="1:2" x14ac:dyDescent="0.3">
      <c r="A90" s="3">
        <v>133</v>
      </c>
      <c r="B90" s="5">
        <v>0.68</v>
      </c>
    </row>
    <row r="91" spans="1:2" x14ac:dyDescent="0.3">
      <c r="A91" s="3">
        <v>174</v>
      </c>
      <c r="B91" s="5">
        <v>0.56000000000000005</v>
      </c>
    </row>
    <row r="92" spans="1:2" x14ac:dyDescent="0.3">
      <c r="A92" s="3">
        <v>139</v>
      </c>
      <c r="B92" s="5">
        <v>0.76</v>
      </c>
    </row>
    <row r="93" spans="1:2" x14ac:dyDescent="0.3">
      <c r="A93" s="3">
        <v>175</v>
      </c>
      <c r="B93" s="5">
        <v>0.41</v>
      </c>
    </row>
    <row r="94" spans="1:2" x14ac:dyDescent="0.3">
      <c r="A94" s="3">
        <v>125</v>
      </c>
      <c r="B94" s="5">
        <v>0.74</v>
      </c>
    </row>
    <row r="95" spans="1:2" x14ac:dyDescent="0.3">
      <c r="A95" s="3">
        <v>124</v>
      </c>
      <c r="B95" s="5">
        <v>0.68</v>
      </c>
    </row>
    <row r="96" spans="1:2" x14ac:dyDescent="0.3">
      <c r="A96" s="3">
        <v>120</v>
      </c>
      <c r="B96" s="5">
        <v>0.61</v>
      </c>
    </row>
    <row r="97" spans="1:2" x14ac:dyDescent="0.3">
      <c r="A97" s="3">
        <v>185</v>
      </c>
      <c r="B97" s="5">
        <v>0.53</v>
      </c>
    </row>
    <row r="98" spans="1:2" x14ac:dyDescent="0.3">
      <c r="A98" s="3">
        <v>126</v>
      </c>
      <c r="B98" s="5">
        <v>0.78</v>
      </c>
    </row>
    <row r="99" spans="1:2" x14ac:dyDescent="0.3">
      <c r="A99" s="3">
        <v>167</v>
      </c>
      <c r="B99" s="5">
        <v>0.83</v>
      </c>
    </row>
    <row r="100" spans="1:2" x14ac:dyDescent="0.3">
      <c r="A100" s="3">
        <v>135</v>
      </c>
      <c r="B100" s="5">
        <v>0.68</v>
      </c>
    </row>
    <row r="101" spans="1:2" x14ac:dyDescent="0.3">
      <c r="A101" s="3">
        <v>125</v>
      </c>
      <c r="B101" s="5">
        <v>0.57999999999999996</v>
      </c>
    </row>
    <row r="102" spans="1:2" x14ac:dyDescent="0.3">
      <c r="A102" s="3">
        <v>145</v>
      </c>
      <c r="B102" s="5">
        <v>0.7</v>
      </c>
    </row>
    <row r="103" spans="1:2" x14ac:dyDescent="0.3">
      <c r="A103" s="3">
        <v>152</v>
      </c>
      <c r="B103" s="5">
        <v>0.69</v>
      </c>
    </row>
    <row r="104" spans="1:2" x14ac:dyDescent="0.3">
      <c r="A104" s="3">
        <v>130</v>
      </c>
      <c r="B104" s="5">
        <v>0.67</v>
      </c>
    </row>
    <row r="105" spans="1:2" x14ac:dyDescent="0.3">
      <c r="A105" s="3">
        <v>130</v>
      </c>
      <c r="B105" s="5">
        <v>0.78</v>
      </c>
    </row>
    <row r="106" spans="1:2" x14ac:dyDescent="0.3">
      <c r="A106" s="3">
        <v>135</v>
      </c>
      <c r="B106" s="5">
        <v>0.68</v>
      </c>
    </row>
    <row r="107" spans="1:2" x14ac:dyDescent="0.3">
      <c r="A107" s="3">
        <v>146</v>
      </c>
      <c r="B107" s="5">
        <v>0.83</v>
      </c>
    </row>
    <row r="108" spans="1:2" x14ac:dyDescent="0.3">
      <c r="A108" s="3">
        <v>199</v>
      </c>
      <c r="B108" s="5">
        <v>0.6</v>
      </c>
    </row>
    <row r="109" spans="1:2" x14ac:dyDescent="0.3">
      <c r="A109" s="3">
        <v>169</v>
      </c>
      <c r="B109" s="5">
        <v>0.66</v>
      </c>
    </row>
    <row r="110" spans="1:2" x14ac:dyDescent="0.3">
      <c r="A110" s="3">
        <v>128</v>
      </c>
      <c r="B110" s="5">
        <v>0.74</v>
      </c>
    </row>
    <row r="111" spans="1:2" x14ac:dyDescent="0.3">
      <c r="A111" s="3">
        <v>169</v>
      </c>
      <c r="B111" s="5">
        <v>0.71</v>
      </c>
    </row>
    <row r="112" spans="1:2" x14ac:dyDescent="0.3">
      <c r="A112" s="3">
        <v>120</v>
      </c>
      <c r="B112" s="5">
        <v>0.75</v>
      </c>
    </row>
    <row r="113" spans="1:2" x14ac:dyDescent="0.3">
      <c r="A113" s="3">
        <v>199</v>
      </c>
      <c r="B113" s="5">
        <v>0.6</v>
      </c>
    </row>
    <row r="114" spans="1:2" x14ac:dyDescent="0.3">
      <c r="A114" s="3">
        <v>123</v>
      </c>
      <c r="B114" s="5">
        <v>0.74</v>
      </c>
    </row>
    <row r="115" spans="1:2" x14ac:dyDescent="0.3">
      <c r="A115" s="3">
        <v>127</v>
      </c>
      <c r="B115" s="5">
        <v>0.68</v>
      </c>
    </row>
    <row r="116" spans="1:2" x14ac:dyDescent="0.3">
      <c r="A116" s="3">
        <v>140</v>
      </c>
      <c r="B116" s="5">
        <v>0.88</v>
      </c>
    </row>
    <row r="117" spans="1:2" x14ac:dyDescent="0.3">
      <c r="A117" s="3">
        <v>130</v>
      </c>
      <c r="B117" s="5">
        <v>0.73</v>
      </c>
    </row>
    <row r="118" spans="1:2" x14ac:dyDescent="0.3">
      <c r="A118" s="3">
        <v>180</v>
      </c>
      <c r="B118" s="5">
        <v>0.39</v>
      </c>
    </row>
    <row r="119" spans="1:2" x14ac:dyDescent="0.3">
      <c r="A119" s="3">
        <v>250</v>
      </c>
      <c r="B119" s="5">
        <v>0.16</v>
      </c>
    </row>
    <row r="120" spans="1:2" x14ac:dyDescent="0.3">
      <c r="A120" s="3">
        <v>136</v>
      </c>
      <c r="B120" s="5">
        <v>0.72</v>
      </c>
    </row>
    <row r="121" spans="1:2" x14ac:dyDescent="0.3">
      <c r="A121" s="3">
        <v>170</v>
      </c>
      <c r="B121" s="5">
        <v>0.56999999999999995</v>
      </c>
    </row>
    <row r="122" spans="1:2" x14ac:dyDescent="0.3">
      <c r="A122" s="3">
        <v>125</v>
      </c>
      <c r="B122" s="5">
        <v>0.49</v>
      </c>
    </row>
    <row r="123" spans="1:2" x14ac:dyDescent="0.3">
      <c r="A123" s="3">
        <v>115</v>
      </c>
      <c r="B123" s="5">
        <v>0.76</v>
      </c>
    </row>
    <row r="124" spans="1:2" x14ac:dyDescent="0.3">
      <c r="A124" s="3">
        <v>127</v>
      </c>
      <c r="B124" s="5">
        <v>0.68</v>
      </c>
    </row>
    <row r="125" spans="1:2" x14ac:dyDescent="0.3">
      <c r="A125" s="3">
        <v>130</v>
      </c>
      <c r="B125" s="5">
        <v>0.56000000000000005</v>
      </c>
    </row>
    <row r="126" spans="1:2" x14ac:dyDescent="0.3">
      <c r="A126" s="3">
        <v>129</v>
      </c>
      <c r="B126" s="5">
        <v>0.74</v>
      </c>
    </row>
    <row r="127" spans="1:2" x14ac:dyDescent="0.3">
      <c r="A127" s="3">
        <v>140</v>
      </c>
      <c r="B127" s="5">
        <v>0.76</v>
      </c>
    </row>
    <row r="128" spans="1:2" x14ac:dyDescent="0.3">
      <c r="A128" s="3">
        <v>165</v>
      </c>
      <c r="B128" s="5">
        <v>0.57999999999999996</v>
      </c>
    </row>
    <row r="129" spans="1:2" x14ac:dyDescent="0.3">
      <c r="A129" s="3">
        <v>196</v>
      </c>
      <c r="B129" s="5">
        <v>0.6</v>
      </c>
    </row>
    <row r="130" spans="1:2" x14ac:dyDescent="0.3">
      <c r="A130" s="3">
        <v>120</v>
      </c>
      <c r="B130" s="5">
        <v>0.79</v>
      </c>
    </row>
    <row r="131" spans="1:2" x14ac:dyDescent="0.3">
      <c r="A131" s="3">
        <v>138</v>
      </c>
      <c r="B131" s="5">
        <v>0.72</v>
      </c>
    </row>
    <row r="132" spans="1:2" x14ac:dyDescent="0.3">
      <c r="A132" s="3">
        <v>160</v>
      </c>
      <c r="B132" s="5">
        <v>0.73</v>
      </c>
    </row>
    <row r="133" spans="1:2" x14ac:dyDescent="0.3">
      <c r="A133" s="3">
        <v>125</v>
      </c>
      <c r="B133" s="5">
        <v>0.74</v>
      </c>
    </row>
    <row r="134" spans="1:2" x14ac:dyDescent="0.3">
      <c r="A134" s="3">
        <v>125</v>
      </c>
      <c r="B134" s="5">
        <v>0.74</v>
      </c>
    </row>
    <row r="135" spans="1:2" x14ac:dyDescent="0.3">
      <c r="A135" s="3">
        <v>122</v>
      </c>
      <c r="B135" s="5">
        <v>0.75</v>
      </c>
    </row>
    <row r="136" spans="1:2" x14ac:dyDescent="0.3">
      <c r="A136" s="3">
        <v>173</v>
      </c>
      <c r="B136" s="5">
        <v>0.78</v>
      </c>
    </row>
    <row r="137" spans="1:2" x14ac:dyDescent="0.3">
      <c r="A137" s="3">
        <v>123</v>
      </c>
      <c r="B137" s="5">
        <v>0.74</v>
      </c>
    </row>
    <row r="138" spans="1:2" x14ac:dyDescent="0.3">
      <c r="A138" s="3">
        <v>121</v>
      </c>
      <c r="B138" s="5">
        <v>0.79</v>
      </c>
    </row>
    <row r="139" spans="1:2" x14ac:dyDescent="0.3">
      <c r="A139" s="3">
        <v>160</v>
      </c>
      <c r="B139" s="5">
        <v>0.59</v>
      </c>
    </row>
    <row r="140" spans="1:2" x14ac:dyDescent="0.3">
      <c r="A140" s="3">
        <v>135</v>
      </c>
      <c r="B140" s="5">
        <v>0.72</v>
      </c>
    </row>
    <row r="141" spans="1:2" x14ac:dyDescent="0.3">
      <c r="A141" s="3">
        <v>183</v>
      </c>
      <c r="B141" s="5">
        <v>0.38</v>
      </c>
    </row>
    <row r="142" spans="1:2" x14ac:dyDescent="0.3">
      <c r="A142" s="3">
        <v>182</v>
      </c>
      <c r="B142" s="5">
        <v>0.47</v>
      </c>
    </row>
    <row r="143" spans="1:2" x14ac:dyDescent="0.3">
      <c r="A143" s="3">
        <v>126</v>
      </c>
      <c r="B143" s="5">
        <v>0.78</v>
      </c>
    </row>
    <row r="144" spans="1:2" x14ac:dyDescent="0.3">
      <c r="A144" s="3">
        <v>123</v>
      </c>
      <c r="B144" s="5">
        <v>0.69</v>
      </c>
    </row>
    <row r="145" spans="1:2" x14ac:dyDescent="0.3">
      <c r="A145" s="3">
        <v>127</v>
      </c>
      <c r="B145" s="5">
        <v>0.56999999999999995</v>
      </c>
    </row>
    <row r="146" spans="1:2" x14ac:dyDescent="0.3">
      <c r="A146" s="3">
        <v>155</v>
      </c>
      <c r="B146" s="5">
        <v>0.44</v>
      </c>
    </row>
    <row r="147" spans="1:2" x14ac:dyDescent="0.3">
      <c r="A147" s="3">
        <v>119</v>
      </c>
      <c r="B147" s="5">
        <v>0.6</v>
      </c>
    </row>
    <row r="148" spans="1:2" x14ac:dyDescent="0.3">
      <c r="A148" s="3">
        <v>158</v>
      </c>
      <c r="B148" s="5">
        <v>0.6</v>
      </c>
    </row>
    <row r="149" spans="1:2" x14ac:dyDescent="0.3">
      <c r="A149" s="3">
        <v>119</v>
      </c>
      <c r="B149" s="5">
        <v>0.51</v>
      </c>
    </row>
    <row r="150" spans="1:2" x14ac:dyDescent="0.3">
      <c r="A150" s="3">
        <v>131</v>
      </c>
      <c r="B150" s="5">
        <v>0.7</v>
      </c>
    </row>
    <row r="151" spans="1:2" x14ac:dyDescent="0.3">
      <c r="A151" s="3">
        <v>119</v>
      </c>
      <c r="B151" s="5">
        <v>0.72</v>
      </c>
    </row>
    <row r="152" spans="1:2" x14ac:dyDescent="0.3">
      <c r="A152" s="3">
        <v>126</v>
      </c>
      <c r="B152" s="5">
        <v>0.78</v>
      </c>
    </row>
    <row r="153" spans="1:2" x14ac:dyDescent="0.3">
      <c r="A153" s="3">
        <v>126</v>
      </c>
      <c r="B153" s="5">
        <v>0.68</v>
      </c>
    </row>
    <row r="154" spans="1:2" x14ac:dyDescent="0.3">
      <c r="A154" s="3">
        <v>123</v>
      </c>
      <c r="B154" s="5">
        <v>0.57999999999999996</v>
      </c>
    </row>
    <row r="155" spans="1:2" x14ac:dyDescent="0.3">
      <c r="A155" s="3">
        <v>126</v>
      </c>
      <c r="B155" s="5">
        <v>0.74</v>
      </c>
    </row>
    <row r="156" spans="1:2" x14ac:dyDescent="0.3">
      <c r="A156" s="3">
        <v>123</v>
      </c>
      <c r="B156" s="5">
        <v>0.75</v>
      </c>
    </row>
    <row r="157" spans="1:2" x14ac:dyDescent="0.3">
      <c r="A157" s="3">
        <v>161</v>
      </c>
      <c r="B157" s="5">
        <v>0.57999999999999996</v>
      </c>
    </row>
    <row r="158" spans="1:2" x14ac:dyDescent="0.3">
      <c r="A158" s="3">
        <v>137</v>
      </c>
      <c r="B158" s="5">
        <v>0.65</v>
      </c>
    </row>
    <row r="159" spans="1:2" x14ac:dyDescent="0.3">
      <c r="A159" s="3">
        <v>122</v>
      </c>
      <c r="B159" s="5">
        <v>0.75</v>
      </c>
    </row>
    <row r="160" spans="1:2" x14ac:dyDescent="0.3">
      <c r="A160" s="3">
        <v>125</v>
      </c>
      <c r="B160" s="5">
        <v>0.79</v>
      </c>
    </row>
    <row r="161" spans="1:2" x14ac:dyDescent="0.3">
      <c r="A161" s="3">
        <v>129</v>
      </c>
      <c r="B161" s="5">
        <v>0.74</v>
      </c>
    </row>
    <row r="162" spans="1:2" x14ac:dyDescent="0.3">
      <c r="A162" s="3">
        <v>119</v>
      </c>
      <c r="B162" s="5">
        <v>0.76</v>
      </c>
    </row>
    <row r="163" spans="1:2" x14ac:dyDescent="0.3">
      <c r="A163" s="3">
        <v>118</v>
      </c>
      <c r="B163" s="5">
        <v>0.52</v>
      </c>
    </row>
    <row r="164" spans="1:2" x14ac:dyDescent="0.3">
      <c r="A164" s="3">
        <v>210</v>
      </c>
      <c r="B164" s="5">
        <v>0.56999999999999995</v>
      </c>
    </row>
    <row r="165" spans="1:2" x14ac:dyDescent="0.3">
      <c r="A165" s="3">
        <v>122</v>
      </c>
      <c r="B165" s="5">
        <v>0.71</v>
      </c>
    </row>
    <row r="166" spans="1:2" x14ac:dyDescent="0.3">
      <c r="A166" s="3">
        <v>142</v>
      </c>
      <c r="B166" s="5">
        <v>0.64</v>
      </c>
    </row>
    <row r="167" spans="1:2" x14ac:dyDescent="0.3">
      <c r="A167" s="3">
        <v>145</v>
      </c>
      <c r="B167" s="5">
        <v>0.82</v>
      </c>
    </row>
    <row r="168" spans="1:2" x14ac:dyDescent="0.3">
      <c r="A168" s="3">
        <v>140</v>
      </c>
      <c r="B168" s="5">
        <v>0.63</v>
      </c>
    </row>
    <row r="169" spans="1:2" x14ac:dyDescent="0.3">
      <c r="A169" s="3">
        <v>129</v>
      </c>
      <c r="B169" s="5">
        <v>0.78</v>
      </c>
    </row>
    <row r="170" spans="1:2" x14ac:dyDescent="0.3">
      <c r="A170" s="3">
        <v>126</v>
      </c>
      <c r="B170" s="5">
        <v>0.56999999999999995</v>
      </c>
    </row>
    <row r="171" spans="1:2" x14ac:dyDescent="0.3">
      <c r="A171" s="3">
        <v>126</v>
      </c>
      <c r="B171" s="5">
        <v>0.74</v>
      </c>
    </row>
    <row r="172" spans="1:2" x14ac:dyDescent="0.3">
      <c r="A172" s="3">
        <v>133</v>
      </c>
      <c r="B172" s="5">
        <v>0.88</v>
      </c>
    </row>
    <row r="173" spans="1:2" x14ac:dyDescent="0.3">
      <c r="A173" s="3">
        <v>125</v>
      </c>
      <c r="B173" s="5">
        <v>0.79</v>
      </c>
    </row>
    <row r="174" spans="1:2" x14ac:dyDescent="0.3">
      <c r="A174" s="3">
        <v>174</v>
      </c>
      <c r="B174" s="5">
        <v>0.78</v>
      </c>
    </row>
    <row r="175" spans="1:2" x14ac:dyDescent="0.3">
      <c r="A175" s="3">
        <v>135</v>
      </c>
      <c r="B175" s="5">
        <v>0.54</v>
      </c>
    </row>
    <row r="176" spans="1:2" x14ac:dyDescent="0.3">
      <c r="A176" s="3">
        <v>145</v>
      </c>
      <c r="B176" s="5">
        <v>0.67</v>
      </c>
    </row>
    <row r="177" spans="1:2" x14ac:dyDescent="0.3">
      <c r="A177" s="3">
        <v>139</v>
      </c>
      <c r="B177" s="5">
        <v>0.72</v>
      </c>
    </row>
    <row r="178" spans="1:2" x14ac:dyDescent="0.3">
      <c r="A178" s="3">
        <v>125</v>
      </c>
      <c r="B178" s="5">
        <v>0.89</v>
      </c>
    </row>
    <row r="179" spans="1:2" x14ac:dyDescent="0.3">
      <c r="A179" s="3">
        <v>127</v>
      </c>
      <c r="B179" s="5">
        <v>0.56000000000000005</v>
      </c>
    </row>
    <row r="180" spans="1:2" x14ac:dyDescent="0.3">
      <c r="A180" s="3">
        <v>126</v>
      </c>
      <c r="B180" s="5">
        <v>0.68</v>
      </c>
    </row>
    <row r="181" spans="1:2" x14ac:dyDescent="0.3">
      <c r="A181" s="3">
        <v>128</v>
      </c>
      <c r="B181" s="5">
        <v>0.78</v>
      </c>
    </row>
    <row r="182" spans="1:2" x14ac:dyDescent="0.3">
      <c r="A182" s="3">
        <v>129</v>
      </c>
      <c r="B182" s="5">
        <v>0.9</v>
      </c>
    </row>
    <row r="183" spans="1:2" x14ac:dyDescent="0.3">
      <c r="A183" s="3">
        <v>127</v>
      </c>
      <c r="B183" s="5">
        <v>0.68</v>
      </c>
    </row>
    <row r="184" spans="1:2" x14ac:dyDescent="0.3">
      <c r="A184" s="3">
        <v>128</v>
      </c>
      <c r="B184" s="5">
        <v>0.74</v>
      </c>
    </row>
    <row r="185" spans="1:2" x14ac:dyDescent="0.3">
      <c r="A185" s="3">
        <v>163</v>
      </c>
      <c r="B185" s="5">
        <v>0.53</v>
      </c>
    </row>
    <row r="186" spans="1:2" x14ac:dyDescent="0.3">
      <c r="A186" s="3">
        <v>132</v>
      </c>
      <c r="B186" s="5">
        <v>0.83</v>
      </c>
    </row>
    <row r="187" spans="1:2" x14ac:dyDescent="0.3">
      <c r="A187" s="3">
        <v>140</v>
      </c>
      <c r="B187" s="5">
        <v>0.68</v>
      </c>
    </row>
    <row r="188" spans="1:2" x14ac:dyDescent="0.3">
      <c r="A188" s="3">
        <v>130</v>
      </c>
      <c r="B188" s="5">
        <v>0.82</v>
      </c>
    </row>
    <row r="189" spans="1:2" x14ac:dyDescent="0.3">
      <c r="A189" s="3">
        <v>129</v>
      </c>
      <c r="B189" s="5">
        <v>0.73</v>
      </c>
    </row>
    <row r="190" spans="1:2" x14ac:dyDescent="0.3">
      <c r="A190" s="3">
        <v>155</v>
      </c>
      <c r="B190" s="5">
        <v>0.68</v>
      </c>
    </row>
    <row r="191" spans="1:2" x14ac:dyDescent="0.3">
      <c r="A191" s="3">
        <v>239</v>
      </c>
      <c r="B191" s="5">
        <v>0.31</v>
      </c>
    </row>
    <row r="192" spans="1:2" x14ac:dyDescent="0.3">
      <c r="A192" s="3">
        <v>129</v>
      </c>
      <c r="B192" s="5">
        <v>0.87</v>
      </c>
    </row>
    <row r="193" spans="1:2" x14ac:dyDescent="0.3">
      <c r="A193" s="3">
        <v>128</v>
      </c>
      <c r="B193" s="5">
        <v>0.83</v>
      </c>
    </row>
    <row r="194" spans="1:2" x14ac:dyDescent="0.3">
      <c r="A194" s="3">
        <v>128</v>
      </c>
      <c r="B194" s="5">
        <v>0.83</v>
      </c>
    </row>
    <row r="195" spans="1:2" x14ac:dyDescent="0.3">
      <c r="A195" s="3">
        <v>126</v>
      </c>
      <c r="B195" s="5">
        <v>0.68</v>
      </c>
    </row>
    <row r="196" spans="1:2" x14ac:dyDescent="0.3">
      <c r="A196" s="3">
        <v>139</v>
      </c>
      <c r="B196" s="5">
        <v>0.72</v>
      </c>
    </row>
    <row r="197" spans="1:2" x14ac:dyDescent="0.3">
      <c r="A197" s="3">
        <v>160</v>
      </c>
      <c r="B197" s="5">
        <v>0.67</v>
      </c>
    </row>
    <row r="198" spans="1:2" x14ac:dyDescent="0.3">
      <c r="A198" s="3">
        <v>135</v>
      </c>
      <c r="B198" s="5">
        <v>0.72</v>
      </c>
    </row>
    <row r="199" spans="1:2" x14ac:dyDescent="0.3">
      <c r="A199" s="3">
        <v>124</v>
      </c>
      <c r="B199" s="5">
        <v>0.7</v>
      </c>
    </row>
    <row r="200" spans="1:2" x14ac:dyDescent="0.3">
      <c r="A200" s="3">
        <v>127</v>
      </c>
      <c r="B200" s="5">
        <v>0.74</v>
      </c>
    </row>
    <row r="201" spans="1:2" x14ac:dyDescent="0.3">
      <c r="A201" s="3">
        <v>132</v>
      </c>
      <c r="B201" s="5">
        <v>0.73</v>
      </c>
    </row>
    <row r="202" spans="1:2" x14ac:dyDescent="0.3">
      <c r="A202" s="3">
        <v>127</v>
      </c>
      <c r="B202" s="5">
        <v>0.36</v>
      </c>
    </row>
    <row r="203" spans="1:2" x14ac:dyDescent="0.3">
      <c r="A203" s="3">
        <v>140</v>
      </c>
      <c r="B203" s="5">
        <v>0.64</v>
      </c>
    </row>
    <row r="204" spans="1:2" x14ac:dyDescent="0.3">
      <c r="A204" s="3">
        <v>120</v>
      </c>
      <c r="B204" s="5">
        <v>0.65</v>
      </c>
    </row>
    <row r="205" spans="1:2" x14ac:dyDescent="0.3">
      <c r="A205" s="3">
        <v>122</v>
      </c>
      <c r="B205" s="5">
        <v>0.75</v>
      </c>
    </row>
    <row r="206" spans="1:2" x14ac:dyDescent="0.3">
      <c r="A206" s="3">
        <v>153</v>
      </c>
      <c r="B206" s="5">
        <v>0.61</v>
      </c>
    </row>
    <row r="207" spans="1:2" x14ac:dyDescent="0.3">
      <c r="A207" s="3">
        <v>125</v>
      </c>
      <c r="B207" s="5">
        <v>0.67</v>
      </c>
    </row>
    <row r="208" spans="1:2" x14ac:dyDescent="0.3">
      <c r="A208" s="3">
        <v>130</v>
      </c>
      <c r="B208" s="5">
        <v>0.78</v>
      </c>
    </row>
    <row r="209" spans="1:2" x14ac:dyDescent="0.3">
      <c r="A209" s="3">
        <v>249</v>
      </c>
      <c r="B209" s="5">
        <v>0.44</v>
      </c>
    </row>
    <row r="210" spans="1:2" x14ac:dyDescent="0.3">
      <c r="A210" s="3">
        <v>125</v>
      </c>
      <c r="B210" s="5">
        <v>0.91</v>
      </c>
    </row>
    <row r="211" spans="1:2" x14ac:dyDescent="0.3">
      <c r="A211" s="3">
        <v>128</v>
      </c>
      <c r="B211" s="5">
        <v>0.73</v>
      </c>
    </row>
    <row r="212" spans="1:2" x14ac:dyDescent="0.3">
      <c r="A212" s="3">
        <v>147</v>
      </c>
      <c r="B212" s="5">
        <v>0.63</v>
      </c>
    </row>
    <row r="213" spans="1:2" x14ac:dyDescent="0.3">
      <c r="A213" s="3">
        <v>219</v>
      </c>
      <c r="B213" s="5">
        <v>0.37</v>
      </c>
    </row>
    <row r="214" spans="1:2" x14ac:dyDescent="0.3">
      <c r="A214" s="3">
        <v>125</v>
      </c>
      <c r="B214" s="5">
        <v>0.79</v>
      </c>
    </row>
    <row r="215" spans="1:2" x14ac:dyDescent="0.3">
      <c r="A215" s="3">
        <v>118</v>
      </c>
      <c r="B215" s="5">
        <v>0.83</v>
      </c>
    </row>
    <row r="216" spans="1:2" x14ac:dyDescent="0.3">
      <c r="A216" s="3">
        <v>127</v>
      </c>
      <c r="B216" s="5">
        <v>0.71</v>
      </c>
    </row>
    <row r="217" spans="1:2" x14ac:dyDescent="0.3">
      <c r="A217" s="3">
        <v>135</v>
      </c>
      <c r="B217" s="5">
        <v>0.72</v>
      </c>
    </row>
    <row r="218" spans="1:2" x14ac:dyDescent="0.3">
      <c r="A218" s="3">
        <v>126</v>
      </c>
      <c r="B218" s="5">
        <v>0.74</v>
      </c>
    </row>
    <row r="219" spans="1:2" x14ac:dyDescent="0.3">
      <c r="A219" s="3">
        <v>125</v>
      </c>
      <c r="B219" s="5">
        <v>0.74</v>
      </c>
    </row>
    <row r="220" spans="1:2" x14ac:dyDescent="0.3">
      <c r="A220" s="3">
        <v>122</v>
      </c>
      <c r="B220" s="5">
        <v>0.75</v>
      </c>
    </row>
    <row r="221" spans="1:2" x14ac:dyDescent="0.3">
      <c r="A221" s="3">
        <v>144</v>
      </c>
      <c r="B221" s="5">
        <v>0.83</v>
      </c>
    </row>
    <row r="222" spans="1:2" x14ac:dyDescent="0.3">
      <c r="A222" s="3">
        <v>135</v>
      </c>
      <c r="B222" s="5">
        <v>0.72</v>
      </c>
    </row>
    <row r="223" spans="1:2" x14ac:dyDescent="0.3">
      <c r="A223" s="3">
        <v>122</v>
      </c>
      <c r="B223" s="5">
        <v>0.69</v>
      </c>
    </row>
    <row r="224" spans="1:2" x14ac:dyDescent="0.3">
      <c r="A224" s="3">
        <v>135</v>
      </c>
      <c r="B224" s="5">
        <v>0.28000000000000003</v>
      </c>
    </row>
    <row r="225" spans="1:2" x14ac:dyDescent="0.3">
      <c r="A225" s="3">
        <v>139</v>
      </c>
      <c r="B225" s="5">
        <v>0.86</v>
      </c>
    </row>
    <row r="226" spans="1:2" x14ac:dyDescent="0.3">
      <c r="A226" s="3">
        <v>127</v>
      </c>
      <c r="B226" s="5">
        <v>0.78</v>
      </c>
    </row>
    <row r="227" spans="1:2" x14ac:dyDescent="0.3">
      <c r="A227" s="3">
        <v>199</v>
      </c>
      <c r="B227" s="5">
        <v>0.71</v>
      </c>
    </row>
    <row r="228" spans="1:2" x14ac:dyDescent="0.3">
      <c r="A228" s="3">
        <v>122</v>
      </c>
      <c r="B228" s="5">
        <v>0.65</v>
      </c>
    </row>
    <row r="229" spans="1:2" x14ac:dyDescent="0.3">
      <c r="A229" s="3">
        <v>157</v>
      </c>
      <c r="B229" s="5">
        <v>0.6</v>
      </c>
    </row>
    <row r="230" spans="1:2" x14ac:dyDescent="0.3">
      <c r="A230" s="3">
        <v>113</v>
      </c>
      <c r="B230" s="5">
        <v>0.81</v>
      </c>
    </row>
    <row r="231" spans="1:2" x14ac:dyDescent="0.3">
      <c r="A231" s="3">
        <v>125</v>
      </c>
      <c r="B231" s="5">
        <v>0.79</v>
      </c>
    </row>
    <row r="232" spans="1:2" x14ac:dyDescent="0.3">
      <c r="A232" s="3">
        <v>189</v>
      </c>
      <c r="B232" s="5">
        <v>0.45</v>
      </c>
    </row>
    <row r="233" spans="1:2" x14ac:dyDescent="0.3">
      <c r="A233" s="3">
        <v>169</v>
      </c>
      <c r="B233" s="5">
        <v>0.71</v>
      </c>
    </row>
    <row r="234" spans="1:2" x14ac:dyDescent="0.3">
      <c r="A234" s="3">
        <v>185</v>
      </c>
      <c r="B234" s="5">
        <v>0.38</v>
      </c>
    </row>
    <row r="235" spans="1:2" x14ac:dyDescent="0.3">
      <c r="A235" s="3">
        <v>189</v>
      </c>
      <c r="B235" s="5">
        <v>0.61</v>
      </c>
    </row>
    <row r="236" spans="1:2" x14ac:dyDescent="0.3">
      <c r="A236" s="3">
        <v>115</v>
      </c>
      <c r="B236" s="5">
        <v>0.61</v>
      </c>
    </row>
    <row r="237" spans="1:2" x14ac:dyDescent="0.3">
      <c r="A237" s="3">
        <v>134</v>
      </c>
      <c r="B237" s="5">
        <v>0.73</v>
      </c>
    </row>
    <row r="238" spans="1:2" x14ac:dyDescent="0.3">
      <c r="A238" s="3">
        <v>149</v>
      </c>
      <c r="B238" s="5">
        <v>0.25</v>
      </c>
    </row>
    <row r="239" spans="1:2" x14ac:dyDescent="0.3">
      <c r="A239" s="3">
        <v>125</v>
      </c>
      <c r="B239" s="5">
        <v>0.74</v>
      </c>
    </row>
    <row r="240" spans="1:2" x14ac:dyDescent="0.3">
      <c r="A240" s="3">
        <v>143</v>
      </c>
      <c r="B240" s="5">
        <v>0.85</v>
      </c>
    </row>
    <row r="241" spans="1:2" x14ac:dyDescent="0.3">
      <c r="A241" s="3">
        <v>159</v>
      </c>
      <c r="B241" s="5">
        <v>0.68</v>
      </c>
    </row>
    <row r="242" spans="1:2" x14ac:dyDescent="0.3">
      <c r="A242" s="3">
        <v>135</v>
      </c>
      <c r="B242" s="5">
        <v>0.32</v>
      </c>
    </row>
    <row r="243" spans="1:2" x14ac:dyDescent="0.3">
      <c r="A243" s="3">
        <v>137</v>
      </c>
      <c r="B243" s="5">
        <v>0.76</v>
      </c>
    </row>
    <row r="244" spans="1:2" x14ac:dyDescent="0.3">
      <c r="A244" s="3">
        <v>129</v>
      </c>
      <c r="B244" s="5">
        <v>0.74</v>
      </c>
    </row>
    <row r="245" spans="1:2" x14ac:dyDescent="0.3">
      <c r="A245" s="3">
        <v>125</v>
      </c>
      <c r="B245" s="5">
        <v>0.72</v>
      </c>
    </row>
    <row r="246" spans="1:2" x14ac:dyDescent="0.3">
      <c r="A246" s="3">
        <v>145</v>
      </c>
      <c r="B246" s="5">
        <v>0.7</v>
      </c>
    </row>
    <row r="247" spans="1:2" x14ac:dyDescent="0.3">
      <c r="A247" s="3">
        <v>119</v>
      </c>
      <c r="B247" s="5">
        <v>0.6</v>
      </c>
    </row>
    <row r="248" spans="1:2" x14ac:dyDescent="0.3">
      <c r="A248" s="3">
        <v>145</v>
      </c>
      <c r="B248" s="5">
        <v>0.7</v>
      </c>
    </row>
    <row r="249" spans="1:2" x14ac:dyDescent="0.3">
      <c r="A249" s="3">
        <v>126</v>
      </c>
      <c r="B249" s="5">
        <v>0.78</v>
      </c>
    </row>
    <row r="250" spans="1:2" x14ac:dyDescent="0.3">
      <c r="A250" s="3">
        <v>124</v>
      </c>
      <c r="B250" s="5">
        <v>0.57999999999999996</v>
      </c>
    </row>
    <row r="251" spans="1:2" x14ac:dyDescent="0.3">
      <c r="A251" s="3">
        <v>122</v>
      </c>
      <c r="B251" s="5">
        <v>0.8</v>
      </c>
    </row>
    <row r="252" spans="1:2" x14ac:dyDescent="0.3">
      <c r="A252" s="3">
        <v>141</v>
      </c>
      <c r="B252" s="5">
        <v>0.71</v>
      </c>
    </row>
    <row r="253" spans="1:2" x14ac:dyDescent="0.3">
      <c r="A253" s="3">
        <v>135</v>
      </c>
      <c r="B253" s="5">
        <v>0.72</v>
      </c>
    </row>
    <row r="254" spans="1:2" x14ac:dyDescent="0.3">
      <c r="A254" s="3">
        <v>125</v>
      </c>
      <c r="B254" s="5">
        <v>0.68</v>
      </c>
    </row>
    <row r="255" spans="1:2" x14ac:dyDescent="0.3">
      <c r="A255" s="3">
        <v>189</v>
      </c>
      <c r="B255" s="5">
        <v>0.61</v>
      </c>
    </row>
    <row r="256" spans="1:2" x14ac:dyDescent="0.3">
      <c r="A256" s="3">
        <v>127</v>
      </c>
      <c r="B256" s="5">
        <v>0.68</v>
      </c>
    </row>
    <row r="257" spans="1:2" x14ac:dyDescent="0.3">
      <c r="A257" s="3">
        <v>126</v>
      </c>
      <c r="B257" s="5">
        <v>0.78</v>
      </c>
    </row>
    <row r="258" spans="1:2" x14ac:dyDescent="0.3">
      <c r="A258" s="3">
        <v>130</v>
      </c>
      <c r="B258" s="5">
        <v>0.73</v>
      </c>
    </row>
    <row r="259" spans="1:2" x14ac:dyDescent="0.3">
      <c r="A259" s="3">
        <v>130</v>
      </c>
      <c r="B259" s="5">
        <v>0.73</v>
      </c>
    </row>
    <row r="260" spans="1:2" x14ac:dyDescent="0.3">
      <c r="A260" s="3">
        <v>126</v>
      </c>
      <c r="B260" s="5">
        <v>0.78</v>
      </c>
    </row>
    <row r="261" spans="1:2" x14ac:dyDescent="0.3">
      <c r="A261" s="3">
        <v>166</v>
      </c>
      <c r="B261" s="5">
        <v>0.44</v>
      </c>
    </row>
    <row r="262" spans="1:2" x14ac:dyDescent="0.3">
      <c r="A262" s="3">
        <v>199</v>
      </c>
      <c r="B262" s="5">
        <v>0.42</v>
      </c>
    </row>
    <row r="263" spans="1:2" x14ac:dyDescent="0.3">
      <c r="A263" s="3">
        <v>150</v>
      </c>
      <c r="B263" s="5">
        <v>0.69</v>
      </c>
    </row>
    <row r="264" spans="1:2" x14ac:dyDescent="0.3">
      <c r="A264" s="3">
        <v>127</v>
      </c>
      <c r="B264" s="5">
        <v>0.56999999999999995</v>
      </c>
    </row>
    <row r="265" spans="1:2" x14ac:dyDescent="0.3">
      <c r="A265" s="3">
        <v>178</v>
      </c>
      <c r="B265" s="5">
        <v>0.6</v>
      </c>
    </row>
    <row r="266" spans="1:2" x14ac:dyDescent="0.3">
      <c r="A266" s="3">
        <v>135</v>
      </c>
      <c r="B266" s="5">
        <v>0.72</v>
      </c>
    </row>
    <row r="267" spans="1:2" x14ac:dyDescent="0.3">
      <c r="A267" s="3">
        <v>145</v>
      </c>
      <c r="B267" s="5">
        <v>0.77</v>
      </c>
    </row>
    <row r="268" spans="1:2" x14ac:dyDescent="0.3">
      <c r="A268" s="3">
        <v>121</v>
      </c>
      <c r="B268" s="5">
        <v>0.62</v>
      </c>
    </row>
    <row r="269" spans="1:2" x14ac:dyDescent="0.3">
      <c r="A269" s="3">
        <v>134</v>
      </c>
      <c r="B269" s="5">
        <v>0.63</v>
      </c>
    </row>
    <row r="270" spans="1:2" x14ac:dyDescent="0.3">
      <c r="A270" s="3">
        <v>134</v>
      </c>
      <c r="B270" s="5">
        <v>0.66</v>
      </c>
    </row>
    <row r="271" spans="1:2" x14ac:dyDescent="0.3">
      <c r="A271" s="3">
        <v>150</v>
      </c>
      <c r="B271" s="5">
        <v>0.69</v>
      </c>
    </row>
    <row r="272" spans="1:2" x14ac:dyDescent="0.3">
      <c r="A272" s="3">
        <v>237</v>
      </c>
      <c r="B272" s="5">
        <v>0.52</v>
      </c>
    </row>
    <row r="273" spans="1:2" x14ac:dyDescent="0.3">
      <c r="A273" s="3">
        <v>126</v>
      </c>
      <c r="B273" s="5">
        <v>0.74</v>
      </c>
    </row>
    <row r="274" spans="1:2" x14ac:dyDescent="0.3">
      <c r="A274" s="3">
        <v>139</v>
      </c>
      <c r="B274" s="5">
        <v>0.72</v>
      </c>
    </row>
    <row r="275" spans="1:2" x14ac:dyDescent="0.3">
      <c r="A275" s="3">
        <v>171</v>
      </c>
      <c r="B275" s="5">
        <v>0.42</v>
      </c>
    </row>
    <row r="276" spans="1:2" x14ac:dyDescent="0.3">
      <c r="A276" s="3">
        <v>113</v>
      </c>
      <c r="B276" s="5">
        <v>0.62</v>
      </c>
    </row>
    <row r="277" spans="1:2" x14ac:dyDescent="0.3">
      <c r="A277" s="3">
        <v>165</v>
      </c>
      <c r="B277" s="5">
        <v>0.52</v>
      </c>
    </row>
    <row r="278" spans="1:2" x14ac:dyDescent="0.3">
      <c r="A278" s="3">
        <v>158</v>
      </c>
      <c r="B278" s="5">
        <v>0.67</v>
      </c>
    </row>
    <row r="279" spans="1:2" x14ac:dyDescent="0.3">
      <c r="A279" s="3">
        <v>120</v>
      </c>
      <c r="B279" s="5">
        <v>0.79</v>
      </c>
    </row>
    <row r="280" spans="1:2" x14ac:dyDescent="0.3">
      <c r="A280" s="3">
        <v>136</v>
      </c>
      <c r="B280" s="5">
        <v>0.65</v>
      </c>
    </row>
    <row r="281" spans="1:2" x14ac:dyDescent="0.3">
      <c r="A281" s="3">
        <v>155</v>
      </c>
      <c r="B281" s="5">
        <v>0.68</v>
      </c>
    </row>
    <row r="282" spans="1:2" x14ac:dyDescent="0.3">
      <c r="A282" s="3">
        <v>126</v>
      </c>
      <c r="B282" s="5">
        <v>0.36</v>
      </c>
    </row>
    <row r="283" spans="1:2" x14ac:dyDescent="0.3">
      <c r="A283" s="3">
        <v>135</v>
      </c>
      <c r="B283" s="5">
        <v>0.77</v>
      </c>
    </row>
    <row r="284" spans="1:2" x14ac:dyDescent="0.3">
      <c r="A284" s="3">
        <v>127</v>
      </c>
      <c r="B284" s="5">
        <v>0.74</v>
      </c>
    </row>
    <row r="285" spans="1:2" x14ac:dyDescent="0.3">
      <c r="A285" s="3">
        <v>127</v>
      </c>
      <c r="B285" s="5">
        <v>0.74</v>
      </c>
    </row>
    <row r="286" spans="1:2" x14ac:dyDescent="0.3">
      <c r="A286" s="3">
        <v>125</v>
      </c>
      <c r="B286" s="5">
        <v>0.82</v>
      </c>
    </row>
    <row r="287" spans="1:2" x14ac:dyDescent="0.3">
      <c r="A287" s="3">
        <v>163</v>
      </c>
      <c r="B287" s="5">
        <v>0.67</v>
      </c>
    </row>
    <row r="288" spans="1:2" x14ac:dyDescent="0.3">
      <c r="A288" s="3">
        <v>128</v>
      </c>
      <c r="B288" s="5">
        <v>0.67</v>
      </c>
    </row>
    <row r="289" spans="1:2" x14ac:dyDescent="0.3">
      <c r="A289" s="3">
        <v>139</v>
      </c>
      <c r="B289" s="5">
        <v>0.72</v>
      </c>
    </row>
    <row r="290" spans="1:2" x14ac:dyDescent="0.3">
      <c r="A290" s="3">
        <v>155</v>
      </c>
      <c r="B290" s="5">
        <v>0.68</v>
      </c>
    </row>
    <row r="291" spans="1:2" x14ac:dyDescent="0.3">
      <c r="A291" s="3">
        <v>180</v>
      </c>
      <c r="B291" s="5">
        <v>0.63</v>
      </c>
    </row>
    <row r="292" spans="1:2" x14ac:dyDescent="0.3">
      <c r="A292" s="3">
        <v>155</v>
      </c>
      <c r="B292" s="5">
        <v>0.48</v>
      </c>
    </row>
    <row r="293" spans="1:2" x14ac:dyDescent="0.3">
      <c r="A293" s="3">
        <v>143</v>
      </c>
      <c r="B293" s="5">
        <v>0.52</v>
      </c>
    </row>
    <row r="294" spans="1:2" x14ac:dyDescent="0.3">
      <c r="A294" s="3">
        <v>135</v>
      </c>
      <c r="B294" s="5">
        <v>0.76</v>
      </c>
    </row>
    <row r="295" spans="1:2" x14ac:dyDescent="0.3">
      <c r="A295" s="3">
        <v>129</v>
      </c>
      <c r="B295" s="5">
        <v>0.78</v>
      </c>
    </row>
    <row r="296" spans="1:2" x14ac:dyDescent="0.3">
      <c r="A296" s="3">
        <v>199</v>
      </c>
      <c r="B296" s="5">
        <v>0.66</v>
      </c>
    </row>
    <row r="297" spans="1:2" x14ac:dyDescent="0.3">
      <c r="A297" s="3">
        <v>120</v>
      </c>
      <c r="B297" s="5">
        <v>0.69</v>
      </c>
    </row>
    <row r="298" spans="1:2" x14ac:dyDescent="0.3">
      <c r="A298" s="3">
        <v>139</v>
      </c>
      <c r="B298" s="5">
        <v>0.72</v>
      </c>
    </row>
    <row r="299" spans="1:2" x14ac:dyDescent="0.3">
      <c r="A299" s="3">
        <v>113</v>
      </c>
      <c r="B299" s="5">
        <v>0.61</v>
      </c>
    </row>
    <row r="300" spans="1:2" x14ac:dyDescent="0.3">
      <c r="A300" s="3">
        <v>126</v>
      </c>
      <c r="B300" s="5">
        <v>0.68</v>
      </c>
    </row>
    <row r="301" spans="1:2" x14ac:dyDescent="0.3">
      <c r="A301" s="3">
        <v>148</v>
      </c>
      <c r="B301" s="5">
        <v>0.62</v>
      </c>
    </row>
    <row r="302" spans="1:2" x14ac:dyDescent="0.3">
      <c r="A302" s="3">
        <v>134</v>
      </c>
      <c r="B302" s="5">
        <v>0.64</v>
      </c>
    </row>
    <row r="303" spans="1:2" x14ac:dyDescent="0.3">
      <c r="A303" s="3">
        <v>126</v>
      </c>
      <c r="B303" s="5">
        <v>0.68</v>
      </c>
    </row>
    <row r="304" spans="1:2" x14ac:dyDescent="0.3">
      <c r="A304" s="3">
        <v>130</v>
      </c>
      <c r="B304" s="5">
        <v>0.63</v>
      </c>
    </row>
    <row r="305" spans="1:2" x14ac:dyDescent="0.3">
      <c r="A305" s="3">
        <v>122</v>
      </c>
      <c r="B305" s="5">
        <v>0.75</v>
      </c>
    </row>
    <row r="306" spans="1:2" x14ac:dyDescent="0.3">
      <c r="A306" s="3">
        <v>135</v>
      </c>
      <c r="B306" s="5">
        <v>0.72</v>
      </c>
    </row>
    <row r="307" spans="1:2" x14ac:dyDescent="0.3">
      <c r="A307" s="3">
        <v>125</v>
      </c>
      <c r="B307" s="5">
        <v>0.57999999999999996</v>
      </c>
    </row>
    <row r="308" spans="1:2" x14ac:dyDescent="0.3">
      <c r="A308" s="3">
        <v>120</v>
      </c>
      <c r="B308" s="5">
        <v>0.66</v>
      </c>
    </row>
    <row r="309" spans="1:2" x14ac:dyDescent="0.3">
      <c r="A309" s="3">
        <v>199</v>
      </c>
      <c r="B309" s="5">
        <v>0.5</v>
      </c>
    </row>
    <row r="310" spans="1:2" x14ac:dyDescent="0.3">
      <c r="A310" s="3">
        <v>120</v>
      </c>
      <c r="B310" s="5">
        <v>0.82</v>
      </c>
    </row>
    <row r="311" spans="1:2" x14ac:dyDescent="0.3">
      <c r="A311" s="3">
        <v>121</v>
      </c>
      <c r="B311" s="5">
        <v>0.75</v>
      </c>
    </row>
    <row r="312" spans="1:2" x14ac:dyDescent="0.3">
      <c r="A312" s="3">
        <v>135</v>
      </c>
      <c r="B312" s="5">
        <v>0.75</v>
      </c>
    </row>
    <row r="313" spans="1:2" x14ac:dyDescent="0.3">
      <c r="A313" s="3">
        <v>149</v>
      </c>
      <c r="B313" s="5">
        <v>0.85</v>
      </c>
    </row>
    <row r="314" spans="1:2" x14ac:dyDescent="0.3">
      <c r="A314" s="3">
        <v>118</v>
      </c>
      <c r="B314" s="5">
        <v>0.7</v>
      </c>
    </row>
    <row r="315" spans="1:2" x14ac:dyDescent="0.3">
      <c r="A315" s="3">
        <v>122</v>
      </c>
      <c r="B315" s="5">
        <v>0.79</v>
      </c>
    </row>
    <row r="316" spans="1:2" x14ac:dyDescent="0.3">
      <c r="A316" s="3">
        <v>115</v>
      </c>
      <c r="B316" s="5">
        <v>0.8</v>
      </c>
    </row>
    <row r="317" spans="1:2" x14ac:dyDescent="0.3">
      <c r="A317" s="3">
        <v>109</v>
      </c>
      <c r="B317" s="5">
        <v>0.73</v>
      </c>
    </row>
    <row r="318" spans="1:2" x14ac:dyDescent="0.3">
      <c r="A318" s="3">
        <v>122</v>
      </c>
      <c r="B318" s="5">
        <v>0.79</v>
      </c>
    </row>
    <row r="319" spans="1:2" x14ac:dyDescent="0.3">
      <c r="A319" s="3">
        <v>162</v>
      </c>
      <c r="B319" s="5">
        <v>0.72</v>
      </c>
    </row>
    <row r="320" spans="1:2" x14ac:dyDescent="0.3">
      <c r="A320" s="3">
        <v>138</v>
      </c>
      <c r="B320" s="5">
        <v>0.76</v>
      </c>
    </row>
    <row r="321" spans="1:2" x14ac:dyDescent="0.3">
      <c r="A321" s="3">
        <v>136</v>
      </c>
      <c r="B321" s="5">
        <v>0.65</v>
      </c>
    </row>
    <row r="322" spans="1:2" x14ac:dyDescent="0.3">
      <c r="A322" s="3">
        <v>199</v>
      </c>
      <c r="B322" s="5">
        <v>0.23</v>
      </c>
    </row>
    <row r="323" spans="1:2" x14ac:dyDescent="0.3">
      <c r="A323" s="3">
        <v>127</v>
      </c>
      <c r="B323" s="5">
        <v>0.78</v>
      </c>
    </row>
    <row r="324" spans="1:2" x14ac:dyDescent="0.3">
      <c r="A324" s="3">
        <v>242</v>
      </c>
      <c r="B324" s="5">
        <v>0.51</v>
      </c>
    </row>
    <row r="325" spans="1:2" x14ac:dyDescent="0.3">
      <c r="A325" s="3">
        <v>128</v>
      </c>
      <c r="B325" s="5">
        <v>0.78</v>
      </c>
    </row>
    <row r="326" spans="1:2" x14ac:dyDescent="0.3">
      <c r="A326" s="3">
        <v>134</v>
      </c>
      <c r="B326" s="5">
        <v>0.77</v>
      </c>
    </row>
    <row r="327" spans="1:2" x14ac:dyDescent="0.3">
      <c r="A327" s="3">
        <v>126</v>
      </c>
      <c r="B327" s="5">
        <v>0.78</v>
      </c>
    </row>
    <row r="328" spans="1:2" x14ac:dyDescent="0.3">
      <c r="A328" s="3">
        <v>199</v>
      </c>
      <c r="B328" s="5">
        <v>0.42</v>
      </c>
    </row>
    <row r="329" spans="1:2" x14ac:dyDescent="0.3">
      <c r="A329" s="3">
        <v>170</v>
      </c>
      <c r="B329" s="5">
        <v>0.43</v>
      </c>
    </row>
    <row r="330" spans="1:2" x14ac:dyDescent="0.3">
      <c r="A330" s="3">
        <v>142</v>
      </c>
      <c r="B330" s="5">
        <v>0.52</v>
      </c>
    </row>
    <row r="331" spans="1:2" x14ac:dyDescent="0.3">
      <c r="A331" s="3">
        <v>121</v>
      </c>
      <c r="B331" s="5">
        <v>0.79</v>
      </c>
    </row>
    <row r="332" spans="1:2" x14ac:dyDescent="0.3">
      <c r="A332" s="3">
        <v>137</v>
      </c>
      <c r="B332" s="5">
        <v>0.76</v>
      </c>
    </row>
    <row r="333" spans="1:2" x14ac:dyDescent="0.3">
      <c r="A333" s="3">
        <v>199</v>
      </c>
      <c r="B333" s="5">
        <v>0.42</v>
      </c>
    </row>
    <row r="334" spans="1:2" x14ac:dyDescent="0.3">
      <c r="A334" s="3">
        <v>171</v>
      </c>
      <c r="B334" s="5">
        <v>0.59</v>
      </c>
    </row>
    <row r="335" spans="1:2" x14ac:dyDescent="0.3">
      <c r="A335" s="3">
        <v>169</v>
      </c>
      <c r="B335" s="5">
        <v>0.71</v>
      </c>
    </row>
    <row r="336" spans="1:2" x14ac:dyDescent="0.3">
      <c r="A336" s="3">
        <v>249</v>
      </c>
      <c r="B336" s="5">
        <v>0.37</v>
      </c>
    </row>
    <row r="337" spans="1:2" x14ac:dyDescent="0.3">
      <c r="A337" s="3">
        <v>129</v>
      </c>
      <c r="B337" s="5">
        <v>0.63</v>
      </c>
    </row>
    <row r="338" spans="1:2" x14ac:dyDescent="0.3">
      <c r="A338" s="3">
        <v>134</v>
      </c>
      <c r="B338" s="5">
        <v>0.73</v>
      </c>
    </row>
    <row r="339" spans="1:2" x14ac:dyDescent="0.3">
      <c r="A339" s="3">
        <v>125</v>
      </c>
      <c r="B339" s="5">
        <v>0.68</v>
      </c>
    </row>
    <row r="340" spans="1:2" x14ac:dyDescent="0.3">
      <c r="A340" s="3">
        <v>123</v>
      </c>
      <c r="B340" s="5">
        <v>0.75</v>
      </c>
    </row>
    <row r="341" spans="1:2" x14ac:dyDescent="0.3">
      <c r="A341" s="3">
        <v>177</v>
      </c>
      <c r="B341" s="5">
        <v>0.55000000000000004</v>
      </c>
    </row>
    <row r="342" spans="1:2" x14ac:dyDescent="0.3">
      <c r="A342" s="3">
        <v>135</v>
      </c>
      <c r="B342" s="5">
        <v>0.54</v>
      </c>
    </row>
    <row r="343" spans="1:2" x14ac:dyDescent="0.3">
      <c r="A343" s="3">
        <v>165</v>
      </c>
      <c r="B343" s="5">
        <v>0.66</v>
      </c>
    </row>
    <row r="344" spans="1:2" x14ac:dyDescent="0.3">
      <c r="A344" s="3">
        <v>133</v>
      </c>
      <c r="B344" s="5">
        <v>0.66</v>
      </c>
    </row>
    <row r="345" spans="1:2" x14ac:dyDescent="0.3">
      <c r="A345" s="3">
        <v>179</v>
      </c>
      <c r="B345" s="5">
        <v>0.6</v>
      </c>
    </row>
    <row r="346" spans="1:2" x14ac:dyDescent="0.3">
      <c r="A346" s="3">
        <v>199</v>
      </c>
      <c r="B346" s="5">
        <v>0.42</v>
      </c>
    </row>
    <row r="347" spans="1:2" x14ac:dyDescent="0.3">
      <c r="A347" s="3">
        <v>249</v>
      </c>
      <c r="B347" s="5">
        <v>0.5</v>
      </c>
    </row>
    <row r="348" spans="1:2" x14ac:dyDescent="0.3">
      <c r="A348" s="3">
        <v>199</v>
      </c>
      <c r="B348" s="5">
        <v>0.5</v>
      </c>
    </row>
    <row r="349" spans="1:2" x14ac:dyDescent="0.3">
      <c r="A349" s="3">
        <v>199</v>
      </c>
      <c r="B349" s="5">
        <v>0.42</v>
      </c>
    </row>
    <row r="350" spans="1:2" x14ac:dyDescent="0.3">
      <c r="A350" s="3">
        <v>199</v>
      </c>
      <c r="B350" s="5">
        <v>0.42</v>
      </c>
    </row>
    <row r="351" spans="1:2" x14ac:dyDescent="0.3">
      <c r="A351" s="3">
        <v>229</v>
      </c>
      <c r="B351" s="5">
        <v>0.61</v>
      </c>
    </row>
    <row r="352" spans="1:2" x14ac:dyDescent="0.3">
      <c r="A352" s="3">
        <v>199</v>
      </c>
      <c r="B352" s="5">
        <v>0.42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811C0-7505-4DC5-A0AD-E7D06883545C}">
  <dimension ref="A3:B7"/>
  <sheetViews>
    <sheetView topLeftCell="A2" workbookViewId="0">
      <selection activeCell="B26" sqref="B25:B26"/>
    </sheetView>
  </sheetViews>
  <sheetFormatPr defaultRowHeight="15.6" x14ac:dyDescent="0.3"/>
  <cols>
    <col min="1" max="1" width="12.296875" bestFit="1" customWidth="1"/>
    <col min="2" max="2" width="13.5" bestFit="1" customWidth="1"/>
  </cols>
  <sheetData>
    <row r="3" spans="1:2" x14ac:dyDescent="0.3">
      <c r="A3" s="8" t="s">
        <v>1252</v>
      </c>
      <c r="B3" t="s">
        <v>1255</v>
      </c>
    </row>
    <row r="4" spans="1:2" x14ac:dyDescent="0.3">
      <c r="A4" s="9" t="s">
        <v>34</v>
      </c>
      <c r="B4" s="19">
        <v>177</v>
      </c>
    </row>
    <row r="5" spans="1:2" x14ac:dyDescent="0.3">
      <c r="A5" s="9" t="s">
        <v>211</v>
      </c>
      <c r="B5" s="19">
        <v>16</v>
      </c>
    </row>
    <row r="6" spans="1:2" x14ac:dyDescent="0.3">
      <c r="A6" s="9" t="s">
        <v>22</v>
      </c>
      <c r="B6" s="19">
        <v>158</v>
      </c>
    </row>
    <row r="7" spans="1:2" x14ac:dyDescent="0.3">
      <c r="A7" s="9" t="s">
        <v>1253</v>
      </c>
      <c r="B7" s="19">
        <v>351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5F373-C2E0-4DDD-9115-EB6896974EFB}">
  <dimension ref="A3:B7"/>
  <sheetViews>
    <sheetView workbookViewId="0">
      <selection activeCell="B3" sqref="B3"/>
    </sheetView>
  </sheetViews>
  <sheetFormatPr defaultRowHeight="15.6" x14ac:dyDescent="0.3"/>
  <cols>
    <col min="1" max="1" width="12.296875" bestFit="1" customWidth="1"/>
    <col min="2" max="2" width="24.5" bestFit="1" customWidth="1"/>
  </cols>
  <sheetData>
    <row r="3" spans="1:2" x14ac:dyDescent="0.3">
      <c r="A3" s="8" t="s">
        <v>1252</v>
      </c>
      <c r="B3" t="s">
        <v>1254</v>
      </c>
    </row>
    <row r="4" spans="1:2" x14ac:dyDescent="0.3">
      <c r="A4" s="9" t="s">
        <v>973</v>
      </c>
      <c r="B4" s="19">
        <v>1</v>
      </c>
    </row>
    <row r="5" spans="1:2" x14ac:dyDescent="0.3">
      <c r="A5" s="9" t="s">
        <v>19</v>
      </c>
      <c r="B5" s="19">
        <v>91</v>
      </c>
    </row>
    <row r="6" spans="1:2" x14ac:dyDescent="0.3">
      <c r="A6" s="9" t="s">
        <v>32</v>
      </c>
      <c r="B6" s="19">
        <v>259</v>
      </c>
    </row>
    <row r="7" spans="1:2" x14ac:dyDescent="0.3">
      <c r="A7" s="9" t="s">
        <v>1253</v>
      </c>
      <c r="B7" s="19">
        <v>351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EC0C0-633A-4CBA-906F-5B1343F7EA9C}">
  <dimension ref="A3:B16"/>
  <sheetViews>
    <sheetView workbookViewId="0">
      <selection activeCell="B5" sqref="B5"/>
    </sheetView>
  </sheetViews>
  <sheetFormatPr defaultRowHeight="15.6" x14ac:dyDescent="0.3"/>
  <cols>
    <col min="1" max="1" width="20" bestFit="1" customWidth="1"/>
    <col min="2" max="2" width="13.5" bestFit="1" customWidth="1"/>
  </cols>
  <sheetData>
    <row r="3" spans="1:2" x14ac:dyDescent="0.3">
      <c r="A3" s="8" t="s">
        <v>1252</v>
      </c>
      <c r="B3" t="s">
        <v>1255</v>
      </c>
    </row>
    <row r="4" spans="1:2" x14ac:dyDescent="0.3">
      <c r="A4" s="9" t="s">
        <v>91</v>
      </c>
      <c r="B4" s="19">
        <v>10</v>
      </c>
    </row>
    <row r="5" spans="1:2" x14ac:dyDescent="0.3">
      <c r="A5" s="9" t="s">
        <v>105</v>
      </c>
      <c r="B5" s="19">
        <v>20</v>
      </c>
    </row>
    <row r="6" spans="1:2" x14ac:dyDescent="0.3">
      <c r="A6" s="9" t="s">
        <v>135</v>
      </c>
      <c r="B6" s="19">
        <v>19</v>
      </c>
    </row>
    <row r="7" spans="1:2" x14ac:dyDescent="0.3">
      <c r="A7" s="9" t="s">
        <v>383</v>
      </c>
      <c r="B7" s="19">
        <v>1</v>
      </c>
    </row>
    <row r="8" spans="1:2" x14ac:dyDescent="0.3">
      <c r="A8" s="9" t="s">
        <v>43</v>
      </c>
      <c r="B8" s="19">
        <v>80</v>
      </c>
    </row>
    <row r="9" spans="1:2" x14ac:dyDescent="0.3">
      <c r="A9" s="9" t="s">
        <v>21</v>
      </c>
      <c r="B9" s="19">
        <v>23</v>
      </c>
    </row>
    <row r="10" spans="1:2" x14ac:dyDescent="0.3">
      <c r="A10" s="9" t="s">
        <v>33</v>
      </c>
      <c r="B10" s="19">
        <v>103</v>
      </c>
    </row>
    <row r="11" spans="1:2" x14ac:dyDescent="0.3">
      <c r="A11" s="9" t="s">
        <v>66</v>
      </c>
      <c r="B11" s="19">
        <v>45</v>
      </c>
    </row>
    <row r="12" spans="1:2" x14ac:dyDescent="0.3">
      <c r="A12" s="9" t="s">
        <v>243</v>
      </c>
      <c r="B12" s="19">
        <v>16</v>
      </c>
    </row>
    <row r="13" spans="1:2" x14ac:dyDescent="0.3">
      <c r="A13" s="9" t="s">
        <v>98</v>
      </c>
      <c r="B13" s="19">
        <v>23</v>
      </c>
    </row>
    <row r="14" spans="1:2" x14ac:dyDescent="0.3">
      <c r="A14" s="9" t="s">
        <v>322</v>
      </c>
      <c r="B14" s="19">
        <v>10</v>
      </c>
    </row>
    <row r="15" spans="1:2" x14ac:dyDescent="0.3">
      <c r="A15" s="9" t="s">
        <v>1058</v>
      </c>
      <c r="B15" s="19">
        <v>1</v>
      </c>
    </row>
    <row r="16" spans="1:2" x14ac:dyDescent="0.3">
      <c r="A16" s="9" t="s">
        <v>1253</v>
      </c>
      <c r="B16" s="19">
        <v>351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3676-1FA0-4E79-A5E8-54E08D23AF5F}">
  <dimension ref="A3:D20"/>
  <sheetViews>
    <sheetView workbookViewId="0">
      <selection activeCell="D16" sqref="D16"/>
    </sheetView>
  </sheetViews>
  <sheetFormatPr defaultRowHeight="15.6" x14ac:dyDescent="0.3"/>
  <cols>
    <col min="1" max="1" width="20" bestFit="1" customWidth="1"/>
    <col min="2" max="2" width="13.5" bestFit="1" customWidth="1"/>
    <col min="3" max="3" width="20.796875" bestFit="1" customWidth="1"/>
    <col min="4" max="4" width="17.69921875" bestFit="1" customWidth="1"/>
  </cols>
  <sheetData>
    <row r="3" spans="1:4" x14ac:dyDescent="0.3">
      <c r="A3" s="8" t="s">
        <v>1252</v>
      </c>
      <c r="B3" t="s">
        <v>1255</v>
      </c>
      <c r="C3" t="s">
        <v>1256</v>
      </c>
      <c r="D3" t="s">
        <v>1257</v>
      </c>
    </row>
    <row r="4" spans="1:4" x14ac:dyDescent="0.3">
      <c r="A4" s="9" t="s">
        <v>91</v>
      </c>
      <c r="B4" s="19">
        <v>10</v>
      </c>
      <c r="C4" s="3">
        <v>163</v>
      </c>
      <c r="D4" s="5">
        <v>0.64200000000000002</v>
      </c>
    </row>
    <row r="5" spans="1:4" x14ac:dyDescent="0.3">
      <c r="A5" s="9" t="s">
        <v>105</v>
      </c>
      <c r="B5" s="19">
        <v>20</v>
      </c>
      <c r="C5" s="3">
        <v>172.9</v>
      </c>
      <c r="D5" s="5">
        <v>0.62949999999999995</v>
      </c>
    </row>
    <row r="6" spans="1:4" x14ac:dyDescent="0.3">
      <c r="A6" s="9" t="s">
        <v>135</v>
      </c>
      <c r="B6" s="19">
        <v>19</v>
      </c>
      <c r="C6" s="3">
        <v>145.15789473684211</v>
      </c>
      <c r="D6" s="5">
        <v>0.69789473684210512</v>
      </c>
    </row>
    <row r="7" spans="1:4" x14ac:dyDescent="0.3">
      <c r="A7" s="9" t="s">
        <v>383</v>
      </c>
      <c r="B7" s="19">
        <v>1</v>
      </c>
      <c r="C7" s="3">
        <v>199</v>
      </c>
      <c r="D7" s="5">
        <v>0.42</v>
      </c>
    </row>
    <row r="8" spans="1:4" x14ac:dyDescent="0.3">
      <c r="A8" s="9" t="s">
        <v>43</v>
      </c>
      <c r="B8" s="19">
        <v>80</v>
      </c>
      <c r="C8" s="3">
        <v>139.625</v>
      </c>
      <c r="D8" s="5">
        <v>0.65849999999999975</v>
      </c>
    </row>
    <row r="9" spans="1:4" x14ac:dyDescent="0.3">
      <c r="A9" s="9" t="s">
        <v>21</v>
      </c>
      <c r="B9" s="19">
        <v>23</v>
      </c>
      <c r="C9" s="3">
        <v>147.34782608695653</v>
      </c>
      <c r="D9" s="5">
        <v>0.67956521739130427</v>
      </c>
    </row>
    <row r="10" spans="1:4" x14ac:dyDescent="0.3">
      <c r="A10" s="9" t="s">
        <v>33</v>
      </c>
      <c r="B10" s="19">
        <v>103</v>
      </c>
      <c r="C10" s="3">
        <v>134.00970873786409</v>
      </c>
      <c r="D10" s="5">
        <v>0.68165048543689311</v>
      </c>
    </row>
    <row r="11" spans="1:4" x14ac:dyDescent="0.3">
      <c r="A11" s="9" t="s">
        <v>66</v>
      </c>
      <c r="B11" s="19">
        <v>45</v>
      </c>
      <c r="C11" s="3">
        <v>138.48888888888888</v>
      </c>
      <c r="D11" s="5">
        <v>0.66599999999999981</v>
      </c>
    </row>
    <row r="12" spans="1:4" x14ac:dyDescent="0.3">
      <c r="A12" s="9" t="s">
        <v>243</v>
      </c>
      <c r="B12" s="19">
        <v>16</v>
      </c>
      <c r="C12" s="3">
        <v>179.1875</v>
      </c>
      <c r="D12" s="5">
        <v>0.53812500000000008</v>
      </c>
    </row>
    <row r="13" spans="1:4" x14ac:dyDescent="0.3">
      <c r="A13" s="9" t="s">
        <v>98</v>
      </c>
      <c r="B13" s="19">
        <v>23</v>
      </c>
      <c r="C13" s="3">
        <v>154.04347826086956</v>
      </c>
      <c r="D13" s="5">
        <v>0.64826086956521733</v>
      </c>
    </row>
    <row r="14" spans="1:4" x14ac:dyDescent="0.3">
      <c r="A14" s="9" t="s">
        <v>322</v>
      </c>
      <c r="B14" s="19">
        <v>10</v>
      </c>
      <c r="C14" s="3">
        <v>144.4</v>
      </c>
      <c r="D14" s="5">
        <v>0.71599999999999997</v>
      </c>
    </row>
    <row r="15" spans="1:4" x14ac:dyDescent="0.3">
      <c r="A15" s="9" t="s">
        <v>1058</v>
      </c>
      <c r="B15" s="19">
        <v>1</v>
      </c>
      <c r="C15" s="3">
        <v>113</v>
      </c>
      <c r="D15" s="5">
        <v>0.61</v>
      </c>
    </row>
    <row r="16" spans="1:4" x14ac:dyDescent="0.3">
      <c r="A16" s="9" t="s">
        <v>1253</v>
      </c>
      <c r="B16" s="19">
        <v>351</v>
      </c>
      <c r="C16" s="3">
        <v>144.17663817663816</v>
      </c>
      <c r="D16" s="5">
        <v>0.66230769230769226</v>
      </c>
    </row>
    <row r="18" spans="1:4" x14ac:dyDescent="0.3">
      <c r="A18" s="10" t="s">
        <v>1258</v>
      </c>
      <c r="B18" s="12">
        <v>351</v>
      </c>
      <c r="C18" s="4">
        <f>GETPIVOTDATA("Average of special price",$A$3)</f>
        <v>144.17663817663816</v>
      </c>
      <c r="D18" s="11">
        <f>GETPIVOTDATA("Average of discount",$A$3)</f>
        <v>0.66230769230769226</v>
      </c>
    </row>
    <row r="20" spans="1:4" x14ac:dyDescent="0.3">
      <c r="B20" s="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64A45-42EE-4B11-A560-6DF5A2F3F26B}">
  <dimension ref="A3:D18"/>
  <sheetViews>
    <sheetView workbookViewId="0">
      <selection activeCell="C18" sqref="C18"/>
    </sheetView>
  </sheetViews>
  <sheetFormatPr defaultRowHeight="15.6" x14ac:dyDescent="0.3"/>
  <cols>
    <col min="1" max="1" width="20" bestFit="1" customWidth="1"/>
    <col min="2" max="2" width="13.5" bestFit="1" customWidth="1"/>
    <col min="3" max="3" width="20.796875" bestFit="1" customWidth="1"/>
    <col min="4" max="4" width="17.69921875" bestFit="1" customWidth="1"/>
  </cols>
  <sheetData>
    <row r="3" spans="1:4" x14ac:dyDescent="0.3">
      <c r="A3" s="8" t="s">
        <v>1252</v>
      </c>
      <c r="B3" t="s">
        <v>1255</v>
      </c>
      <c r="C3" t="s">
        <v>1256</v>
      </c>
      <c r="D3" t="s">
        <v>1257</v>
      </c>
    </row>
    <row r="4" spans="1:4" x14ac:dyDescent="0.3">
      <c r="A4" s="9" t="s">
        <v>91</v>
      </c>
      <c r="B4" s="19">
        <v>10</v>
      </c>
      <c r="C4" s="3">
        <v>163</v>
      </c>
      <c r="D4" s="5">
        <v>0.64200000000000002</v>
      </c>
    </row>
    <row r="5" spans="1:4" x14ac:dyDescent="0.3">
      <c r="A5" s="9" t="s">
        <v>105</v>
      </c>
      <c r="B5" s="19">
        <v>20</v>
      </c>
      <c r="C5" s="3">
        <v>172.9</v>
      </c>
      <c r="D5" s="5">
        <v>0.62949999999999995</v>
      </c>
    </row>
    <row r="6" spans="1:4" x14ac:dyDescent="0.3">
      <c r="A6" s="9" t="s">
        <v>135</v>
      </c>
      <c r="B6" s="19">
        <v>19</v>
      </c>
      <c r="C6" s="3">
        <v>145.15789473684211</v>
      </c>
      <c r="D6" s="5">
        <v>0.69789473684210512</v>
      </c>
    </row>
    <row r="7" spans="1:4" x14ac:dyDescent="0.3">
      <c r="A7" s="9" t="s">
        <v>383</v>
      </c>
      <c r="B7" s="19">
        <v>1</v>
      </c>
      <c r="C7" s="3">
        <v>199</v>
      </c>
      <c r="D7" s="5">
        <v>0.42</v>
      </c>
    </row>
    <row r="8" spans="1:4" x14ac:dyDescent="0.3">
      <c r="A8" s="9" t="s">
        <v>43</v>
      </c>
      <c r="B8" s="19">
        <v>80</v>
      </c>
      <c r="C8" s="3">
        <v>139.625</v>
      </c>
      <c r="D8" s="5">
        <v>0.65849999999999975</v>
      </c>
    </row>
    <row r="9" spans="1:4" x14ac:dyDescent="0.3">
      <c r="A9" s="9" t="s">
        <v>21</v>
      </c>
      <c r="B9" s="19">
        <v>23</v>
      </c>
      <c r="C9" s="3">
        <v>147.34782608695653</v>
      </c>
      <c r="D9" s="5">
        <v>0.67956521739130427</v>
      </c>
    </row>
    <row r="10" spans="1:4" x14ac:dyDescent="0.3">
      <c r="A10" s="9" t="s">
        <v>33</v>
      </c>
      <c r="B10" s="19">
        <v>103</v>
      </c>
      <c r="C10" s="3">
        <v>134.00970873786409</v>
      </c>
      <c r="D10" s="5">
        <v>0.68165048543689311</v>
      </c>
    </row>
    <row r="11" spans="1:4" x14ac:dyDescent="0.3">
      <c r="A11" s="9" t="s">
        <v>66</v>
      </c>
      <c r="B11" s="19">
        <v>45</v>
      </c>
      <c r="C11" s="3">
        <v>138.48888888888888</v>
      </c>
      <c r="D11" s="5">
        <v>0.66599999999999981</v>
      </c>
    </row>
    <row r="12" spans="1:4" x14ac:dyDescent="0.3">
      <c r="A12" s="9" t="s">
        <v>243</v>
      </c>
      <c r="B12" s="19">
        <v>16</v>
      </c>
      <c r="C12" s="3">
        <v>179.1875</v>
      </c>
      <c r="D12" s="5">
        <v>0.53812500000000008</v>
      </c>
    </row>
    <row r="13" spans="1:4" x14ac:dyDescent="0.3">
      <c r="A13" s="9" t="s">
        <v>98</v>
      </c>
      <c r="B13" s="19">
        <v>23</v>
      </c>
      <c r="C13" s="3">
        <v>154.04347826086956</v>
      </c>
      <c r="D13" s="5">
        <v>0.64826086956521733</v>
      </c>
    </row>
    <row r="14" spans="1:4" x14ac:dyDescent="0.3">
      <c r="A14" s="9" t="s">
        <v>322</v>
      </c>
      <c r="B14" s="19">
        <v>10</v>
      </c>
      <c r="C14" s="3">
        <v>144.4</v>
      </c>
      <c r="D14" s="5">
        <v>0.71599999999999997</v>
      </c>
    </row>
    <row r="15" spans="1:4" x14ac:dyDescent="0.3">
      <c r="A15" s="9" t="s">
        <v>1058</v>
      </c>
      <c r="B15" s="19">
        <v>1</v>
      </c>
      <c r="C15" s="3">
        <v>113</v>
      </c>
      <c r="D15" s="5">
        <v>0.61</v>
      </c>
    </row>
    <row r="16" spans="1:4" x14ac:dyDescent="0.3">
      <c r="A16" s="9" t="s">
        <v>1253</v>
      </c>
      <c r="B16" s="19">
        <v>351</v>
      </c>
      <c r="C16" s="3">
        <v>144.17663817663816</v>
      </c>
      <c r="D16" s="5">
        <v>0.66230769230769226</v>
      </c>
    </row>
    <row r="18" spans="1:4" x14ac:dyDescent="0.3">
      <c r="A18" s="9" t="s">
        <v>1259</v>
      </c>
      <c r="B18" s="13">
        <f>GETPIVOTDATA("Count of name",$A$3)</f>
        <v>351</v>
      </c>
      <c r="C18" s="3">
        <f>GETPIVOTDATA("Average of special price",$A$3)</f>
        <v>144.17663817663816</v>
      </c>
      <c r="D18" s="14">
        <f>GETPIVOTDATA("Average of discount",$A$3)</f>
        <v>0.66230769230769226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1AA03-46A2-4DDA-9CEA-01F8BAB13B7D}">
  <dimension ref="A1"/>
  <sheetViews>
    <sheetView showGridLines="0" tabSelected="1" zoomScale="61" workbookViewId="0">
      <selection activeCell="AC19" sqref="AC19"/>
    </sheetView>
  </sheetViews>
  <sheetFormatPr defaultRowHeight="15.6" x14ac:dyDescent="0.3"/>
  <cols>
    <col min="1" max="16384" width="8.796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Clean_data</vt:lpstr>
      <vt:lpstr>Sheet1</vt:lpstr>
      <vt:lpstr>Special price</vt:lpstr>
      <vt:lpstr>Orignal price</vt:lpstr>
      <vt:lpstr>TOP 5</vt:lpstr>
      <vt:lpstr>Total_count</vt:lpstr>
      <vt:lpstr>Returns_count</vt:lpstr>
      <vt:lpstr>histogram</vt:lpstr>
      <vt:lpstr>Sp and discount</vt:lpstr>
      <vt:lpstr>Life cycle </vt:lpstr>
      <vt:lpstr>Plant size</vt:lpstr>
      <vt:lpstr>Type and count</vt:lpstr>
      <vt:lpstr>CARD</vt:lpstr>
      <vt:lpstr>Sheet4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Chandrapal</dc:creator>
  <cp:lastModifiedBy>chandumain01@gmail.com</cp:lastModifiedBy>
  <dcterms:created xsi:type="dcterms:W3CDTF">2026-02-23T09:20:28Z</dcterms:created>
  <dcterms:modified xsi:type="dcterms:W3CDTF">2026-08-16T03:10:28Z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2025-02-08T13:50:56.880Z</dcterms:created>
  <dcterms:modified xsi:type="dcterms:W3CDTF">2025-02-08T13:50:56.880Z</dcterms:modified>
  <cp:revision>0</cp:revision>
</cp:coreProperties>
</file>